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231"/>
  <workbookPr/>
  <mc:AlternateContent xmlns:mc="http://schemas.openxmlformats.org/markup-compatibility/2006">
    <mc:Choice Requires="x15">
      <x15ac:absPath xmlns:x15ac="http://schemas.microsoft.com/office/spreadsheetml/2010/11/ac" url="https://d.docs.live.net/f8b72392e668bf96/Documents/Semester 5/Nuclear Physics Lab/Experiment 4/Data Analysis/"/>
    </mc:Choice>
  </mc:AlternateContent>
  <xr:revisionPtr revIDLastSave="92" documentId="11_F25DC773A252ABDACC1048C7899A7D505BDE58E9" xr6:coauthVersionLast="47" xr6:coauthVersionMax="47" xr10:uidLastSave="{E4932081-8658-47B1-9643-4F1B6CE2F687}"/>
  <bookViews>
    <workbookView xWindow="-108" yWindow="-108" windowWidth="23256" windowHeight="12456" activeTab="1" xr2:uid="{00000000-000D-0000-FFFF-FFFF00000000}"/>
  </bookViews>
  <sheets>
    <sheet name="Resolution" sheetId="1" r:id="rId1"/>
    <sheet name="Calibration Constant" sheetId="2" r:id="rId2"/>
  </sheets>
  <calcPr calcId="191029" calcCompleted="0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E4" i="2" l="1"/>
  <c r="E5" i="2"/>
  <c r="E6" i="2"/>
  <c r="E7" i="2"/>
  <c r="E8" i="2"/>
  <c r="E9" i="2"/>
  <c r="E10" i="2"/>
  <c r="E11" i="2"/>
  <c r="E12" i="2"/>
  <c r="E13" i="2"/>
  <c r="E14" i="2"/>
  <c r="E3" i="2"/>
  <c r="C4" i="2"/>
  <c r="C5" i="2"/>
  <c r="C6" i="2"/>
  <c r="C7" i="2"/>
  <c r="C8" i="2"/>
  <c r="C9" i="2"/>
  <c r="C10" i="2"/>
  <c r="C11" i="2"/>
  <c r="C12" i="2"/>
  <c r="C13" i="2"/>
  <c r="C14" i="2"/>
  <c r="C3" i="2"/>
</calcChain>
</file>

<file path=xl/sharedStrings.xml><?xml version="1.0" encoding="utf-8"?>
<sst xmlns="http://schemas.openxmlformats.org/spreadsheetml/2006/main" count="16" uniqueCount="7">
  <si>
    <t>Voltage</t>
  </si>
  <si>
    <t>Delta(CN)</t>
  </si>
  <si>
    <t>CN</t>
  </si>
  <si>
    <t>R</t>
  </si>
  <si>
    <t>Peak 1</t>
  </si>
  <si>
    <t>Peak 2</t>
  </si>
  <si>
    <t>Alpha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</si>
</sst>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 applyAlignment="1">
      <alignment horizontal="center"/>
    </xf>
    <xf numFmtId="0" fontId="1" fillId="0" borderId="0" xfId="0" applyFont="1" applyAlignment="1">
      <alignment horizontal="center" vertical="center"/>
    </xf>
    <xf numFmtId="0" fontId="1" fillId="0" borderId="0" xfId="0" applyFont="1" applyAlignment="1">
      <alignment horizontal="center"/>
    </xf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Resolution</a:t>
            </a:r>
            <a:r>
              <a:rPr lang="en-US" baseline="0"/>
              <a:t> of Co-60 Peaks</a:t>
            </a:r>
            <a:endParaRPr lang="en-US"/>
          </a:p>
        </c:rich>
      </c:tx>
      <c:layout>
        <c:manualLayout>
          <c:xMode val="edge"/>
          <c:yMode val="edge"/>
          <c:x val="0.14555555555555558"/>
          <c:y val="2.7777777777777776E-2"/>
        </c:manualLayout>
      </c:layout>
      <c:overlay val="0"/>
      <c:spPr>
        <a:noFill/>
        <a:ln>
          <a:noFill/>
        </a:ln>
        <a:effectLst/>
      </c:spPr>
    </c:title>
    <c:autoTitleDeleted val="0"/>
    <c:plotArea>
      <c:layout>
        <c:manualLayout>
          <c:layoutTarget val="inner"/>
          <c:xMode val="edge"/>
          <c:yMode val="edge"/>
          <c:x val="0.13178937007874017"/>
          <c:y val="0.17171296296296296"/>
          <c:w val="0.82866618574852047"/>
          <c:h val="0.69511777156887644"/>
        </c:manualLayout>
      </c:layout>
      <c:lineChart>
        <c:grouping val="standard"/>
        <c:varyColors val="0"/>
        <c:ser>
          <c:idx val="2"/>
          <c:order val="0"/>
          <c:tx>
            <c:v>1.173 MeV Peak Resolution</c:v>
          </c:tx>
          <c:marker>
            <c:symbol val="none"/>
          </c:marker>
          <c:cat>
            <c:numRef>
              <c:f>Resolution!$A$3:$A$14</c:f>
              <c:numCache>
                <c:formatCode>General</c:formatCode>
                <c:ptCount val="12"/>
                <c:pt idx="0">
                  <c:v>639</c:v>
                </c:pt>
                <c:pt idx="1">
                  <c:v>648</c:v>
                </c:pt>
                <c:pt idx="2">
                  <c:v>657</c:v>
                </c:pt>
                <c:pt idx="3">
                  <c:v>666</c:v>
                </c:pt>
                <c:pt idx="4">
                  <c:v>675</c:v>
                </c:pt>
                <c:pt idx="5">
                  <c:v>684</c:v>
                </c:pt>
                <c:pt idx="6">
                  <c:v>693</c:v>
                </c:pt>
                <c:pt idx="7">
                  <c:v>702</c:v>
                </c:pt>
                <c:pt idx="8">
                  <c:v>711</c:v>
                </c:pt>
                <c:pt idx="9">
                  <c:v>720</c:v>
                </c:pt>
                <c:pt idx="10">
                  <c:v>729</c:v>
                </c:pt>
                <c:pt idx="11">
                  <c:v>738</c:v>
                </c:pt>
              </c:numCache>
            </c:numRef>
          </c:cat>
          <c:val>
            <c:numRef>
              <c:f>Resolution!$D$3:$D$14</c:f>
              <c:numCache>
                <c:formatCode>General</c:formatCode>
                <c:ptCount val="12"/>
                <c:pt idx="0">
                  <c:v>5.8686999999999996</c:v>
                </c:pt>
                <c:pt idx="1">
                  <c:v>6.1223000000000001</c:v>
                </c:pt>
                <c:pt idx="2">
                  <c:v>5.9066999999999998</c:v>
                </c:pt>
                <c:pt idx="3">
                  <c:v>5.9633000000000003</c:v>
                </c:pt>
                <c:pt idx="4">
                  <c:v>5.8819999999999997</c:v>
                </c:pt>
                <c:pt idx="5">
                  <c:v>5.7998000000000003</c:v>
                </c:pt>
                <c:pt idx="6">
                  <c:v>6.0171999999999999</c:v>
                </c:pt>
                <c:pt idx="7">
                  <c:v>5.8973000000000004</c:v>
                </c:pt>
                <c:pt idx="8">
                  <c:v>5.7678000000000003</c:v>
                </c:pt>
                <c:pt idx="9">
                  <c:v>5.8696000000000002</c:v>
                </c:pt>
                <c:pt idx="10">
                  <c:v>5.9705000000000004</c:v>
                </c:pt>
                <c:pt idx="11">
                  <c:v>5.8640999999999996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B-20C8-4AF7-B2E3-1E2A1FE94E43}"/>
            </c:ext>
          </c:extLst>
        </c:ser>
        <c:ser>
          <c:idx val="3"/>
          <c:order val="1"/>
          <c:tx>
            <c:v>1.333 MeV Peak Resolution</c:v>
          </c:tx>
          <c:marker>
            <c:symbol val="none"/>
          </c:marker>
          <c:cat>
            <c:numRef>
              <c:f>Resolution!$A$3:$A$14</c:f>
              <c:numCache>
                <c:formatCode>General</c:formatCode>
                <c:ptCount val="12"/>
                <c:pt idx="0">
                  <c:v>639</c:v>
                </c:pt>
                <c:pt idx="1">
                  <c:v>648</c:v>
                </c:pt>
                <c:pt idx="2">
                  <c:v>657</c:v>
                </c:pt>
                <c:pt idx="3">
                  <c:v>666</c:v>
                </c:pt>
                <c:pt idx="4">
                  <c:v>675</c:v>
                </c:pt>
                <c:pt idx="5">
                  <c:v>684</c:v>
                </c:pt>
                <c:pt idx="6">
                  <c:v>693</c:v>
                </c:pt>
                <c:pt idx="7">
                  <c:v>702</c:v>
                </c:pt>
                <c:pt idx="8">
                  <c:v>711</c:v>
                </c:pt>
                <c:pt idx="9">
                  <c:v>720</c:v>
                </c:pt>
                <c:pt idx="10">
                  <c:v>729</c:v>
                </c:pt>
                <c:pt idx="11">
                  <c:v>738</c:v>
                </c:pt>
              </c:numCache>
            </c:numRef>
          </c:cat>
          <c:val>
            <c:numRef>
              <c:f>Resolution!$G$3:$G$14</c:f>
              <c:numCache>
                <c:formatCode>General</c:formatCode>
                <c:ptCount val="12"/>
                <c:pt idx="0">
                  <c:v>6.1178999999999997</c:v>
                </c:pt>
                <c:pt idx="1">
                  <c:v>5.8672000000000004</c:v>
                </c:pt>
                <c:pt idx="2">
                  <c:v>5.9071999999999996</c:v>
                </c:pt>
                <c:pt idx="3">
                  <c:v>5.8064</c:v>
                </c:pt>
                <c:pt idx="4">
                  <c:v>5.9968000000000004</c:v>
                </c:pt>
                <c:pt idx="5">
                  <c:v>6.0735000000000001</c:v>
                </c:pt>
                <c:pt idx="6">
                  <c:v>5.7138</c:v>
                </c:pt>
                <c:pt idx="7">
                  <c:v>5.9012000000000002</c:v>
                </c:pt>
                <c:pt idx="8">
                  <c:v>5.7958999999999996</c:v>
                </c:pt>
                <c:pt idx="9">
                  <c:v>5.7938000000000001</c:v>
                </c:pt>
                <c:pt idx="10">
                  <c:v>5.7108999999999996</c:v>
                </c:pt>
                <c:pt idx="11">
                  <c:v>5.8032000000000004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C-20C8-4AF7-B2E3-1E2A1FE94E43}"/>
            </c:ext>
          </c:extLst>
        </c:ser>
        <c:ser>
          <c:idx val="0"/>
          <c:order val="2"/>
          <c:tx>
            <c:v>1.173 MeV Peak Resolution</c:v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trendline>
            <c:spPr>
              <a:ln w="25400" cap="rnd">
                <a:solidFill>
                  <a:schemeClr val="accent1"/>
                </a:solidFill>
                <a:prstDash val="sysDash"/>
              </a:ln>
              <a:effectLst/>
            </c:spPr>
            <c:trendlineType val="linear"/>
            <c:dispRSqr val="0"/>
            <c:dispEq val="0"/>
          </c:trendline>
          <c:cat>
            <c:numRef>
              <c:f>Resolution!$A$3:$A$14</c:f>
              <c:numCache>
                <c:formatCode>General</c:formatCode>
                <c:ptCount val="12"/>
                <c:pt idx="0">
                  <c:v>639</c:v>
                </c:pt>
                <c:pt idx="1">
                  <c:v>648</c:v>
                </c:pt>
                <c:pt idx="2">
                  <c:v>657</c:v>
                </c:pt>
                <c:pt idx="3">
                  <c:v>666</c:v>
                </c:pt>
                <c:pt idx="4">
                  <c:v>675</c:v>
                </c:pt>
                <c:pt idx="5">
                  <c:v>684</c:v>
                </c:pt>
                <c:pt idx="6">
                  <c:v>693</c:v>
                </c:pt>
                <c:pt idx="7">
                  <c:v>702</c:v>
                </c:pt>
                <c:pt idx="8">
                  <c:v>711</c:v>
                </c:pt>
                <c:pt idx="9">
                  <c:v>720</c:v>
                </c:pt>
                <c:pt idx="10">
                  <c:v>729</c:v>
                </c:pt>
                <c:pt idx="11">
                  <c:v>738</c:v>
                </c:pt>
              </c:numCache>
            </c:numRef>
          </c:cat>
          <c:val>
            <c:numRef>
              <c:f>Resolution!$D$3:$D$14</c:f>
              <c:numCache>
                <c:formatCode>General</c:formatCode>
                <c:ptCount val="12"/>
                <c:pt idx="0">
                  <c:v>5.8686999999999996</c:v>
                </c:pt>
                <c:pt idx="1">
                  <c:v>6.1223000000000001</c:v>
                </c:pt>
                <c:pt idx="2">
                  <c:v>5.9066999999999998</c:v>
                </c:pt>
                <c:pt idx="3">
                  <c:v>5.9633000000000003</c:v>
                </c:pt>
                <c:pt idx="4">
                  <c:v>5.8819999999999997</c:v>
                </c:pt>
                <c:pt idx="5">
                  <c:v>5.7998000000000003</c:v>
                </c:pt>
                <c:pt idx="6">
                  <c:v>6.0171999999999999</c:v>
                </c:pt>
                <c:pt idx="7">
                  <c:v>5.8973000000000004</c:v>
                </c:pt>
                <c:pt idx="8">
                  <c:v>5.7678000000000003</c:v>
                </c:pt>
                <c:pt idx="9">
                  <c:v>5.8696000000000002</c:v>
                </c:pt>
                <c:pt idx="10">
                  <c:v>5.9705000000000004</c:v>
                </c:pt>
                <c:pt idx="11">
                  <c:v>5.8640999999999996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7-20C8-4AF7-B2E3-1E2A1FE94E43}"/>
            </c:ext>
          </c:extLst>
        </c:ser>
        <c:ser>
          <c:idx val="1"/>
          <c:order val="3"/>
          <c:tx>
            <c:v>1.333 MeV Peak Resolution</c:v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trendline>
            <c:spPr>
              <a:ln w="25400" cap="rnd">
                <a:solidFill>
                  <a:schemeClr val="accent2"/>
                </a:solidFill>
                <a:prstDash val="sysDash"/>
              </a:ln>
              <a:effectLst/>
            </c:spPr>
            <c:trendlineType val="linear"/>
            <c:dispRSqr val="0"/>
            <c:dispEq val="0"/>
          </c:trendline>
          <c:cat>
            <c:numRef>
              <c:f>Resolution!$A$3:$A$14</c:f>
              <c:numCache>
                <c:formatCode>General</c:formatCode>
                <c:ptCount val="12"/>
                <c:pt idx="0">
                  <c:v>639</c:v>
                </c:pt>
                <c:pt idx="1">
                  <c:v>648</c:v>
                </c:pt>
                <c:pt idx="2">
                  <c:v>657</c:v>
                </c:pt>
                <c:pt idx="3">
                  <c:v>666</c:v>
                </c:pt>
                <c:pt idx="4">
                  <c:v>675</c:v>
                </c:pt>
                <c:pt idx="5">
                  <c:v>684</c:v>
                </c:pt>
                <c:pt idx="6">
                  <c:v>693</c:v>
                </c:pt>
                <c:pt idx="7">
                  <c:v>702</c:v>
                </c:pt>
                <c:pt idx="8">
                  <c:v>711</c:v>
                </c:pt>
                <c:pt idx="9">
                  <c:v>720</c:v>
                </c:pt>
                <c:pt idx="10">
                  <c:v>729</c:v>
                </c:pt>
                <c:pt idx="11">
                  <c:v>738</c:v>
                </c:pt>
              </c:numCache>
            </c:numRef>
          </c:cat>
          <c:val>
            <c:numRef>
              <c:f>Resolution!$G$3:$G$14</c:f>
              <c:numCache>
                <c:formatCode>General</c:formatCode>
                <c:ptCount val="12"/>
                <c:pt idx="0">
                  <c:v>6.1178999999999997</c:v>
                </c:pt>
                <c:pt idx="1">
                  <c:v>5.8672000000000004</c:v>
                </c:pt>
                <c:pt idx="2">
                  <c:v>5.9071999999999996</c:v>
                </c:pt>
                <c:pt idx="3">
                  <c:v>5.8064</c:v>
                </c:pt>
                <c:pt idx="4">
                  <c:v>5.9968000000000004</c:v>
                </c:pt>
                <c:pt idx="5">
                  <c:v>6.0735000000000001</c:v>
                </c:pt>
                <c:pt idx="6">
                  <c:v>5.7138</c:v>
                </c:pt>
                <c:pt idx="7">
                  <c:v>5.9012000000000002</c:v>
                </c:pt>
                <c:pt idx="8">
                  <c:v>5.7958999999999996</c:v>
                </c:pt>
                <c:pt idx="9">
                  <c:v>5.7938000000000001</c:v>
                </c:pt>
                <c:pt idx="10">
                  <c:v>5.7108999999999996</c:v>
                </c:pt>
                <c:pt idx="11">
                  <c:v>5.8032000000000004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A-20C8-4AF7-B2E3-1E2A1FE94E4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754948032"/>
        <c:axId val="1754948512"/>
      </c:lineChart>
      <c:catAx>
        <c:axId val="1754948032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PMT</a:t>
                </a:r>
                <a:r>
                  <a:rPr lang="en-US" baseline="0"/>
                  <a:t> Voltages</a:t>
                </a:r>
                <a:endParaRPr lang="en-US"/>
              </a:p>
            </c:rich>
          </c:tx>
          <c:layout>
            <c:manualLayout>
              <c:xMode val="edge"/>
              <c:yMode val="edge"/>
              <c:x val="0.49458905951973392"/>
              <c:y val="0.93460198120396243"/>
            </c:manualLayout>
          </c:layout>
          <c:overlay val="0"/>
          <c:spPr>
            <a:noFill/>
            <a:ln>
              <a:noFill/>
            </a:ln>
            <a:effectLst/>
          </c:sp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54948512"/>
        <c:crosses val="autoZero"/>
        <c:auto val="1"/>
        <c:lblAlgn val="ctr"/>
        <c:lblOffset val="100"/>
        <c:noMultiLvlLbl val="0"/>
      </c:catAx>
      <c:valAx>
        <c:axId val="175494851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Resolution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54948032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59503105590062111"/>
          <c:y val="2.5997459994919991E-2"/>
          <c:w val="0.39089026915113867"/>
          <c:h val="0.36472948945897893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/>
  </c:chart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Variation</a:t>
            </a:r>
            <a:r>
              <a:rPr lang="en-US" baseline="0"/>
              <a:t> of Calibration Constant with PMT Voltage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13457545845078481"/>
          <c:y val="0.14806387225548903"/>
          <c:w val="0.84237250231435734"/>
          <c:h val="0.69862951262828676"/>
        </c:manualLayout>
      </c:layout>
      <c:lineChart>
        <c:grouping val="standard"/>
        <c:varyColors val="0"/>
        <c:ser>
          <c:idx val="0"/>
          <c:order val="0"/>
          <c:tx>
            <c:v>1.173 MeV Peak Alpha</c:v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'Calibration Constant'!$A$3:$A$14</c:f>
              <c:numCache>
                <c:formatCode>General</c:formatCode>
                <c:ptCount val="12"/>
                <c:pt idx="0">
                  <c:v>639</c:v>
                </c:pt>
                <c:pt idx="1">
                  <c:v>648</c:v>
                </c:pt>
                <c:pt idx="2">
                  <c:v>657</c:v>
                </c:pt>
                <c:pt idx="3">
                  <c:v>666</c:v>
                </c:pt>
                <c:pt idx="4">
                  <c:v>675</c:v>
                </c:pt>
                <c:pt idx="5">
                  <c:v>684</c:v>
                </c:pt>
                <c:pt idx="6">
                  <c:v>693</c:v>
                </c:pt>
                <c:pt idx="7">
                  <c:v>702</c:v>
                </c:pt>
                <c:pt idx="8">
                  <c:v>711</c:v>
                </c:pt>
                <c:pt idx="9">
                  <c:v>720</c:v>
                </c:pt>
                <c:pt idx="10">
                  <c:v>729</c:v>
                </c:pt>
                <c:pt idx="11">
                  <c:v>738</c:v>
                </c:pt>
              </c:numCache>
            </c:numRef>
          </c:cat>
          <c:val>
            <c:numRef>
              <c:f>'Calibration Constant'!$C$3:$C$14</c:f>
              <c:numCache>
                <c:formatCode>General</c:formatCode>
                <c:ptCount val="12"/>
                <c:pt idx="0">
                  <c:v>4.3146493933558811E-3</c:v>
                </c:pt>
                <c:pt idx="1">
                  <c:v>3.9775170256717701E-3</c:v>
                </c:pt>
                <c:pt idx="2">
                  <c:v>3.7502014174674342E-3</c:v>
                </c:pt>
                <c:pt idx="3">
                  <c:v>3.4870633813158807E-3</c:v>
                </c:pt>
                <c:pt idx="4">
                  <c:v>3.1813905198902E-3</c:v>
                </c:pt>
                <c:pt idx="5">
                  <c:v>2.9731179947649804E-3</c:v>
                </c:pt>
                <c:pt idx="6">
                  <c:v>2.7337680482877125E-3</c:v>
                </c:pt>
                <c:pt idx="7">
                  <c:v>2.5435498892482436E-3</c:v>
                </c:pt>
                <c:pt idx="8">
                  <c:v>2.350975604769935E-3</c:v>
                </c:pt>
                <c:pt idx="9">
                  <c:v>2.1917597308152821E-3</c:v>
                </c:pt>
                <c:pt idx="10">
                  <c:v>2.0055135379857601E-3</c:v>
                </c:pt>
                <c:pt idx="11">
                  <c:v>1.8887578011896437E-3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153A-486E-AFF4-EDF31D8CEA03}"/>
            </c:ext>
          </c:extLst>
        </c:ser>
        <c:ser>
          <c:idx val="1"/>
          <c:order val="1"/>
          <c:tx>
            <c:v>1.333 MeV Peak Alpha</c:v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'Calibration Constant'!$A$3:$A$14</c:f>
              <c:numCache>
                <c:formatCode>General</c:formatCode>
                <c:ptCount val="12"/>
                <c:pt idx="0">
                  <c:v>639</c:v>
                </c:pt>
                <c:pt idx="1">
                  <c:v>648</c:v>
                </c:pt>
                <c:pt idx="2">
                  <c:v>657</c:v>
                </c:pt>
                <c:pt idx="3">
                  <c:v>666</c:v>
                </c:pt>
                <c:pt idx="4">
                  <c:v>675</c:v>
                </c:pt>
                <c:pt idx="5">
                  <c:v>684</c:v>
                </c:pt>
                <c:pt idx="6">
                  <c:v>693</c:v>
                </c:pt>
                <c:pt idx="7">
                  <c:v>702</c:v>
                </c:pt>
                <c:pt idx="8">
                  <c:v>711</c:v>
                </c:pt>
                <c:pt idx="9">
                  <c:v>720</c:v>
                </c:pt>
                <c:pt idx="10">
                  <c:v>729</c:v>
                </c:pt>
                <c:pt idx="11">
                  <c:v>738</c:v>
                </c:pt>
              </c:numCache>
            </c:numRef>
          </c:cat>
          <c:val>
            <c:numRef>
              <c:f>'Calibration Constant'!$E$3:$E$14</c:f>
              <c:numCache>
                <c:formatCode>General</c:formatCode>
                <c:ptCount val="12"/>
                <c:pt idx="0">
                  <c:v>4.3428301112878719E-3</c:v>
                </c:pt>
                <c:pt idx="1">
                  <c:v>3.9992607518010174E-3</c:v>
                </c:pt>
                <c:pt idx="2">
                  <c:v>3.7693028316710792E-3</c:v>
                </c:pt>
                <c:pt idx="3">
                  <c:v>3.5045727707578235E-3</c:v>
                </c:pt>
                <c:pt idx="4">
                  <c:v>3.2000683705530331E-3</c:v>
                </c:pt>
                <c:pt idx="5">
                  <c:v>2.9918965167411533E-3</c:v>
                </c:pt>
                <c:pt idx="6">
                  <c:v>2.7498046978546363E-3</c:v>
                </c:pt>
                <c:pt idx="7">
                  <c:v>2.5558657021996552E-3</c:v>
                </c:pt>
                <c:pt idx="8">
                  <c:v>2.3642242675117101E-3</c:v>
                </c:pt>
                <c:pt idx="9">
                  <c:v>2.2020518894612902E-3</c:v>
                </c:pt>
                <c:pt idx="10">
                  <c:v>2.0163235992147681E-3</c:v>
                </c:pt>
                <c:pt idx="11">
                  <c:v>1.8984896254591872E-3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153A-486E-AFF4-EDF31D8CEA0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996471968"/>
        <c:axId val="1996476768"/>
      </c:lineChart>
      <c:catAx>
        <c:axId val="1996471968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PMT Voltage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96476768"/>
        <c:crosses val="autoZero"/>
        <c:auto val="1"/>
        <c:lblAlgn val="ctr"/>
        <c:lblOffset val="100"/>
        <c:noMultiLvlLbl val="0"/>
      </c:catAx>
      <c:valAx>
        <c:axId val="199647676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Alpha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9647196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0.71494884143445092"/>
          <c:y val="0.1733327046694014"/>
          <c:w val="0.24762271294687899"/>
          <c:h val="0.13473148191805367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152400</xdr:colOff>
      <xdr:row>5</xdr:row>
      <xdr:rowOff>64770</xdr:rowOff>
    </xdr:from>
    <xdr:to>
      <xdr:col>16</xdr:col>
      <xdr:colOff>182880</xdr:colOff>
      <xdr:row>21</xdr:row>
      <xdr:rowOff>91440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CC2A790A-E2E7-50F4-7DA7-FBFFCA06265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472440</xdr:colOff>
      <xdr:row>2</xdr:row>
      <xdr:rowOff>152400</xdr:rowOff>
    </xdr:from>
    <xdr:to>
      <xdr:col>15</xdr:col>
      <xdr:colOff>144780</xdr:colOff>
      <xdr:row>20</xdr:row>
      <xdr:rowOff>41910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AD8D5384-54FA-EFA8-A925-65CED6277B7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14"/>
  <sheetViews>
    <sheetView workbookViewId="0">
      <selection sqref="A1:G14"/>
    </sheetView>
  </sheetViews>
  <sheetFormatPr defaultRowHeight="14.4" x14ac:dyDescent="0.3"/>
  <cols>
    <col min="1" max="1" width="17.21875" style="1" customWidth="1"/>
    <col min="2" max="2" width="11.6640625" style="1" customWidth="1"/>
    <col min="3" max="3" width="12" style="1" customWidth="1"/>
    <col min="4" max="4" width="10.6640625" style="1" customWidth="1"/>
    <col min="5" max="5" width="12.44140625" style="1" customWidth="1"/>
    <col min="6" max="6" width="12" style="1" customWidth="1"/>
    <col min="7" max="7" width="10.77734375" style="1" customWidth="1"/>
  </cols>
  <sheetData>
    <row r="1" spans="1:7" x14ac:dyDescent="0.3">
      <c r="A1" s="2" t="s">
        <v>0</v>
      </c>
      <c r="B1" s="3" t="s">
        <v>4</v>
      </c>
      <c r="C1" s="3"/>
      <c r="D1" s="3"/>
      <c r="E1" s="3" t="s">
        <v>5</v>
      </c>
      <c r="F1" s="3"/>
      <c r="G1" s="3"/>
    </row>
    <row r="2" spans="1:7" x14ac:dyDescent="0.3">
      <c r="A2" s="2"/>
      <c r="B2" s="4" t="s">
        <v>1</v>
      </c>
      <c r="C2" s="4" t="s">
        <v>2</v>
      </c>
      <c r="D2" s="4" t="s">
        <v>3</v>
      </c>
      <c r="E2" s="4" t="s">
        <v>1</v>
      </c>
      <c r="F2" s="4" t="s">
        <v>2</v>
      </c>
      <c r="G2" s="4" t="s">
        <v>3</v>
      </c>
    </row>
    <row r="3" spans="1:7" x14ac:dyDescent="0.3">
      <c r="A3" s="1">
        <v>639</v>
      </c>
      <c r="B3" s="1">
        <v>15.955</v>
      </c>
      <c r="C3" s="1">
        <v>271.86450000000002</v>
      </c>
      <c r="D3" s="1">
        <v>5.8686999999999996</v>
      </c>
      <c r="E3" s="1">
        <v>18.778400000000001</v>
      </c>
      <c r="F3" s="1">
        <v>306.9427</v>
      </c>
      <c r="G3" s="1">
        <v>6.1178999999999997</v>
      </c>
    </row>
    <row r="4" spans="1:7" x14ac:dyDescent="0.3">
      <c r="A4" s="1">
        <v>648</v>
      </c>
      <c r="B4" s="1">
        <v>18.055</v>
      </c>
      <c r="C4" s="1">
        <v>294.9076</v>
      </c>
      <c r="D4" s="1">
        <v>6.1223000000000001</v>
      </c>
      <c r="E4" s="1">
        <v>19.5562</v>
      </c>
      <c r="F4" s="1">
        <v>333.3116</v>
      </c>
      <c r="G4" s="1">
        <v>5.8672000000000004</v>
      </c>
    </row>
    <row r="5" spans="1:7" x14ac:dyDescent="0.3">
      <c r="A5" s="1">
        <v>657</v>
      </c>
      <c r="B5" s="1">
        <v>18.475100000000001</v>
      </c>
      <c r="C5" s="1">
        <v>312.78320000000002</v>
      </c>
      <c r="D5" s="1">
        <v>5.9066999999999998</v>
      </c>
      <c r="E5" s="1">
        <v>20.890599999999999</v>
      </c>
      <c r="F5" s="1">
        <v>353.6463</v>
      </c>
      <c r="G5" s="1">
        <v>5.9071999999999996</v>
      </c>
    </row>
    <row r="6" spans="1:7" x14ac:dyDescent="0.3">
      <c r="A6" s="1">
        <v>666</v>
      </c>
      <c r="B6" s="1">
        <v>20.059899999999999</v>
      </c>
      <c r="C6" s="1">
        <v>336.38619999999997</v>
      </c>
      <c r="D6" s="1">
        <v>5.9633000000000003</v>
      </c>
      <c r="E6" s="1">
        <v>22.085100000000001</v>
      </c>
      <c r="F6" s="1">
        <v>380.36020000000002</v>
      </c>
      <c r="G6" s="1">
        <v>5.8064</v>
      </c>
    </row>
    <row r="7" spans="1:7" x14ac:dyDescent="0.3">
      <c r="A7" s="1">
        <v>675</v>
      </c>
      <c r="B7" s="1">
        <v>21.6874</v>
      </c>
      <c r="C7" s="1">
        <v>368.70670000000001</v>
      </c>
      <c r="D7" s="1">
        <v>5.8819999999999997</v>
      </c>
      <c r="E7" s="1">
        <v>24.979800000000001</v>
      </c>
      <c r="F7" s="1">
        <v>416.55360000000002</v>
      </c>
      <c r="G7" s="1">
        <v>5.9968000000000004</v>
      </c>
    </row>
    <row r="8" spans="1:7" x14ac:dyDescent="0.3">
      <c r="A8" s="1">
        <v>684</v>
      </c>
      <c r="B8" s="1">
        <v>22.882400000000001</v>
      </c>
      <c r="C8" s="1">
        <v>394.53530000000001</v>
      </c>
      <c r="D8" s="1">
        <v>5.7998000000000003</v>
      </c>
      <c r="E8" s="1">
        <v>27.0595</v>
      </c>
      <c r="F8" s="1">
        <v>445.53680000000003</v>
      </c>
      <c r="G8" s="1">
        <v>6.0735000000000001</v>
      </c>
    </row>
    <row r="9" spans="1:7" x14ac:dyDescent="0.3">
      <c r="A9" s="1">
        <v>693</v>
      </c>
      <c r="B9" s="1">
        <v>25.8187</v>
      </c>
      <c r="C9" s="1">
        <v>429.07810000000001</v>
      </c>
      <c r="D9" s="1">
        <v>6.0171999999999999</v>
      </c>
      <c r="E9" s="1">
        <v>27.698599999999999</v>
      </c>
      <c r="F9" s="1">
        <v>484.76170000000002</v>
      </c>
      <c r="G9" s="1">
        <v>5.7138</v>
      </c>
    </row>
    <row r="10" spans="1:7" x14ac:dyDescent="0.3">
      <c r="A10" s="1">
        <v>702</v>
      </c>
      <c r="B10" s="1">
        <v>27.1965</v>
      </c>
      <c r="C10" s="1">
        <v>461.16649999999998</v>
      </c>
      <c r="D10" s="1">
        <v>5.8973000000000004</v>
      </c>
      <c r="E10" s="1">
        <v>30.7776</v>
      </c>
      <c r="F10" s="1">
        <v>521.54539999999997</v>
      </c>
      <c r="G10" s="1">
        <v>5.9012000000000002</v>
      </c>
    </row>
    <row r="11" spans="1:7" x14ac:dyDescent="0.3">
      <c r="A11" s="1">
        <v>711</v>
      </c>
      <c r="B11" s="1">
        <v>28.777899999999999</v>
      </c>
      <c r="C11" s="1">
        <v>498.9418</v>
      </c>
      <c r="D11" s="1">
        <v>5.7678000000000003</v>
      </c>
      <c r="E11" s="1">
        <v>32.6783</v>
      </c>
      <c r="F11" s="1">
        <v>563.82129999999995</v>
      </c>
      <c r="G11" s="1">
        <v>5.7958999999999996</v>
      </c>
    </row>
    <row r="12" spans="1:7" x14ac:dyDescent="0.3">
      <c r="A12" s="1">
        <v>720</v>
      </c>
      <c r="B12" s="1">
        <v>31.4132</v>
      </c>
      <c r="C12" s="1">
        <v>535.18640000000005</v>
      </c>
      <c r="D12" s="1">
        <v>5.8696000000000002</v>
      </c>
      <c r="E12" s="1">
        <v>35.072299999999998</v>
      </c>
      <c r="F12" s="1">
        <v>605.34450000000004</v>
      </c>
      <c r="G12" s="1">
        <v>5.7938000000000001</v>
      </c>
    </row>
    <row r="13" spans="1:7" x14ac:dyDescent="0.3">
      <c r="A13" s="1">
        <v>729</v>
      </c>
      <c r="B13" s="1">
        <v>34.920499999999997</v>
      </c>
      <c r="C13" s="1">
        <v>584.88760000000002</v>
      </c>
      <c r="D13" s="1">
        <v>5.9705000000000004</v>
      </c>
      <c r="E13" s="1">
        <v>37.755200000000002</v>
      </c>
      <c r="F13" s="1">
        <v>661.10419999999999</v>
      </c>
      <c r="G13" s="1">
        <v>5.7108999999999996</v>
      </c>
    </row>
    <row r="14" spans="1:7" x14ac:dyDescent="0.3">
      <c r="A14" s="1">
        <v>738</v>
      </c>
      <c r="B14" s="1">
        <v>36.418300000000002</v>
      </c>
      <c r="C14" s="1">
        <v>621.04309999999998</v>
      </c>
      <c r="D14" s="1">
        <v>5.8640999999999996</v>
      </c>
      <c r="E14" s="1">
        <v>40.746099999999998</v>
      </c>
      <c r="F14" s="1">
        <v>702.13710000000003</v>
      </c>
      <c r="G14" s="1">
        <v>5.8032000000000004</v>
      </c>
    </row>
  </sheetData>
  <mergeCells count="3">
    <mergeCell ref="A1:A2"/>
    <mergeCell ref="B1:D1"/>
    <mergeCell ref="E1:G1"/>
  </mergeCells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579A8B-9561-4FEF-AD0A-D34E5960D457}">
  <dimension ref="A1:E14"/>
  <sheetViews>
    <sheetView tabSelected="1" workbookViewId="0">
      <selection activeCell="Q14" sqref="Q14"/>
    </sheetView>
  </sheetViews>
  <sheetFormatPr defaultRowHeight="14.4" x14ac:dyDescent="0.3"/>
  <cols>
    <col min="1" max="1" width="13.44140625" style="1" customWidth="1"/>
    <col min="2" max="2" width="12" style="1" customWidth="1"/>
    <col min="3" max="3" width="13" style="1" customWidth="1"/>
    <col min="4" max="4" width="11.6640625" style="1" customWidth="1"/>
    <col min="5" max="5" width="13" style="1" customWidth="1"/>
  </cols>
  <sheetData>
    <row r="1" spans="1:5" x14ac:dyDescent="0.3">
      <c r="A1" s="2" t="s">
        <v>0</v>
      </c>
      <c r="B1" s="3" t="s">
        <v>4</v>
      </c>
      <c r="C1" s="3"/>
      <c r="D1" s="3" t="s">
        <v>5</v>
      </c>
      <c r="E1" s="3"/>
    </row>
    <row r="2" spans="1:5" x14ac:dyDescent="0.3">
      <c r="A2" s="2"/>
      <c r="B2" s="4" t="s">
        <v>2</v>
      </c>
      <c r="C2" s="4" t="s">
        <v>6</v>
      </c>
      <c r="D2" s="4" t="s">
        <v>2</v>
      </c>
      <c r="E2" s="4" t="s">
        <v>6</v>
      </c>
    </row>
    <row r="3" spans="1:5" x14ac:dyDescent="0.3">
      <c r="A3" s="1">
        <v>639</v>
      </c>
      <c r="B3" s="1">
        <v>271.86450000000002</v>
      </c>
      <c r="C3" s="1">
        <f>1.173/B3</f>
        <v>4.3146493933558811E-3</v>
      </c>
      <c r="D3" s="1">
        <v>306.9427</v>
      </c>
      <c r="E3" s="1">
        <f>1.333/D3</f>
        <v>4.3428301112878719E-3</v>
      </c>
    </row>
    <row r="4" spans="1:5" x14ac:dyDescent="0.3">
      <c r="A4" s="1">
        <v>648</v>
      </c>
      <c r="B4" s="1">
        <v>294.9076</v>
      </c>
      <c r="C4" s="1">
        <f t="shared" ref="C4:C14" si="0">1.173/B4</f>
        <v>3.9775170256717701E-3</v>
      </c>
      <c r="D4" s="1">
        <v>333.3116</v>
      </c>
      <c r="E4" s="1">
        <f t="shared" ref="E4:E14" si="1">1.333/D4</f>
        <v>3.9992607518010174E-3</v>
      </c>
    </row>
    <row r="5" spans="1:5" x14ac:dyDescent="0.3">
      <c r="A5" s="1">
        <v>657</v>
      </c>
      <c r="B5" s="1">
        <v>312.78320000000002</v>
      </c>
      <c r="C5" s="1">
        <f t="shared" si="0"/>
        <v>3.7502014174674342E-3</v>
      </c>
      <c r="D5" s="1">
        <v>353.6463</v>
      </c>
      <c r="E5" s="1">
        <f t="shared" si="1"/>
        <v>3.7693028316710792E-3</v>
      </c>
    </row>
    <row r="6" spans="1:5" x14ac:dyDescent="0.3">
      <c r="A6" s="1">
        <v>666</v>
      </c>
      <c r="B6" s="1">
        <v>336.38619999999997</v>
      </c>
      <c r="C6" s="1">
        <f t="shared" si="0"/>
        <v>3.4870633813158807E-3</v>
      </c>
      <c r="D6" s="1">
        <v>380.36020000000002</v>
      </c>
      <c r="E6" s="1">
        <f t="shared" si="1"/>
        <v>3.5045727707578235E-3</v>
      </c>
    </row>
    <row r="7" spans="1:5" x14ac:dyDescent="0.3">
      <c r="A7" s="1">
        <v>675</v>
      </c>
      <c r="B7" s="1">
        <v>368.70670000000001</v>
      </c>
      <c r="C7" s="1">
        <f t="shared" si="0"/>
        <v>3.1813905198902E-3</v>
      </c>
      <c r="D7" s="1">
        <v>416.55360000000002</v>
      </c>
      <c r="E7" s="1">
        <f t="shared" si="1"/>
        <v>3.2000683705530331E-3</v>
      </c>
    </row>
    <row r="8" spans="1:5" x14ac:dyDescent="0.3">
      <c r="A8" s="1">
        <v>684</v>
      </c>
      <c r="B8" s="1">
        <v>394.53530000000001</v>
      </c>
      <c r="C8" s="1">
        <f t="shared" si="0"/>
        <v>2.9731179947649804E-3</v>
      </c>
      <c r="D8" s="1">
        <v>445.53680000000003</v>
      </c>
      <c r="E8" s="1">
        <f t="shared" si="1"/>
        <v>2.9918965167411533E-3</v>
      </c>
    </row>
    <row r="9" spans="1:5" x14ac:dyDescent="0.3">
      <c r="A9" s="1">
        <v>693</v>
      </c>
      <c r="B9" s="1">
        <v>429.07810000000001</v>
      </c>
      <c r="C9" s="1">
        <f t="shared" si="0"/>
        <v>2.7337680482877125E-3</v>
      </c>
      <c r="D9" s="1">
        <v>484.76170000000002</v>
      </c>
      <c r="E9" s="1">
        <f t="shared" si="1"/>
        <v>2.7498046978546363E-3</v>
      </c>
    </row>
    <row r="10" spans="1:5" x14ac:dyDescent="0.3">
      <c r="A10" s="1">
        <v>702</v>
      </c>
      <c r="B10" s="1">
        <v>461.16649999999998</v>
      </c>
      <c r="C10" s="1">
        <f t="shared" si="0"/>
        <v>2.5435498892482436E-3</v>
      </c>
      <c r="D10" s="1">
        <v>521.54539999999997</v>
      </c>
      <c r="E10" s="1">
        <f t="shared" si="1"/>
        <v>2.5558657021996552E-3</v>
      </c>
    </row>
    <row r="11" spans="1:5" x14ac:dyDescent="0.3">
      <c r="A11" s="1">
        <v>711</v>
      </c>
      <c r="B11" s="1">
        <v>498.9418</v>
      </c>
      <c r="C11" s="1">
        <f t="shared" si="0"/>
        <v>2.350975604769935E-3</v>
      </c>
      <c r="D11" s="1">
        <v>563.82129999999995</v>
      </c>
      <c r="E11" s="1">
        <f t="shared" si="1"/>
        <v>2.3642242675117101E-3</v>
      </c>
    </row>
    <row r="12" spans="1:5" x14ac:dyDescent="0.3">
      <c r="A12" s="1">
        <v>720</v>
      </c>
      <c r="B12" s="1">
        <v>535.18640000000005</v>
      </c>
      <c r="C12" s="1">
        <f t="shared" si="0"/>
        <v>2.1917597308152821E-3</v>
      </c>
      <c r="D12" s="1">
        <v>605.34450000000004</v>
      </c>
      <c r="E12" s="1">
        <f t="shared" si="1"/>
        <v>2.2020518894612902E-3</v>
      </c>
    </row>
    <row r="13" spans="1:5" x14ac:dyDescent="0.3">
      <c r="A13" s="1">
        <v>729</v>
      </c>
      <c r="B13" s="1">
        <v>584.88760000000002</v>
      </c>
      <c r="C13" s="1">
        <f t="shared" si="0"/>
        <v>2.0055135379857601E-3</v>
      </c>
      <c r="D13" s="1">
        <v>661.10419999999999</v>
      </c>
      <c r="E13" s="1">
        <f t="shared" si="1"/>
        <v>2.0163235992147681E-3</v>
      </c>
    </row>
    <row r="14" spans="1:5" x14ac:dyDescent="0.3">
      <c r="A14" s="1">
        <v>738</v>
      </c>
      <c r="B14" s="1">
        <v>621.04309999999998</v>
      </c>
      <c r="C14" s="1">
        <f t="shared" si="0"/>
        <v>1.8887578011896437E-3</v>
      </c>
      <c r="D14" s="1">
        <v>702.13710000000003</v>
      </c>
      <c r="E14" s="1">
        <f t="shared" si="1"/>
        <v>1.8984896254591872E-3</v>
      </c>
    </row>
  </sheetData>
  <mergeCells count="3">
    <mergeCell ref="A1:A2"/>
    <mergeCell ref="B1:C1"/>
    <mergeCell ref="D1:E1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Resolution</vt:lpstr>
      <vt:lpstr>Calibration Constant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ARYA BASAK</dc:creator>
  <cp:lastModifiedBy>Arya Basak</cp:lastModifiedBy>
  <dcterms:created xsi:type="dcterms:W3CDTF">2015-06-05T18:17:20Z</dcterms:created>
  <dcterms:modified xsi:type="dcterms:W3CDTF">2025-10-18T10:09:30Z</dcterms:modified>
</cp:coreProperties>
</file>