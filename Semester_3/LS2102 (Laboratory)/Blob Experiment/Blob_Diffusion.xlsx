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b72392e668bf96/Documents/Biology Laboratory 2/Blob Experiment/"/>
    </mc:Choice>
  </mc:AlternateContent>
  <xr:revisionPtr revIDLastSave="132" documentId="13_ncr:1_{C49B5C45-7368-4919-A3B0-1EF456E73E96}" xr6:coauthVersionLast="47" xr6:coauthVersionMax="47" xr10:uidLastSave="{73B0DE36-F521-4AFC-98EC-DB0B88F03FB8}"/>
  <bookViews>
    <workbookView xWindow="-108" yWindow="-108" windowWidth="23256" windowHeight="12456" activeTab="3" xr2:uid="{AFC0CD58-B38C-42E4-B19C-533B5487BB7D}"/>
  </bookViews>
  <sheets>
    <sheet name="Data_1" sheetId="1" r:id="rId1"/>
    <sheet name="Data_2" sheetId="3" r:id="rId2"/>
    <sheet name="Data_3" sheetId="5" r:id="rId3"/>
    <sheet name="Consolidated" sheetId="2" r:id="rId4"/>
  </sheets>
  <definedNames>
    <definedName name="x_scan1">Consolidated!$A$2:$A$7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2" i="2"/>
  <c r="M6" i="2"/>
  <c r="M4" i="2"/>
  <c r="M2" i="2"/>
  <c r="I7" i="2"/>
  <c r="H7" i="2"/>
  <c r="I6" i="2"/>
  <c r="H6" i="2"/>
  <c r="D7" i="2"/>
  <c r="D6" i="2"/>
  <c r="Q17" i="5"/>
  <c r="Q18" i="5" s="1"/>
  <c r="N17" i="5"/>
  <c r="Q12" i="5"/>
  <c r="Q13" i="5" s="1"/>
  <c r="N12" i="5"/>
  <c r="N13" i="5" s="1"/>
  <c r="Q20" i="5"/>
  <c r="N20" i="5"/>
  <c r="N18" i="5"/>
  <c r="Q15" i="5"/>
  <c r="N15" i="5"/>
  <c r="I5" i="2"/>
  <c r="H5" i="2"/>
  <c r="D5" i="2"/>
  <c r="I4" i="2"/>
  <c r="H4" i="2"/>
  <c r="D4" i="2"/>
  <c r="Q17" i="3"/>
  <c r="Q18" i="3" s="1"/>
  <c r="N17" i="3"/>
  <c r="N18" i="3" s="1"/>
  <c r="Q12" i="3"/>
  <c r="Q13" i="3" s="1"/>
  <c r="N12" i="3"/>
  <c r="N13" i="3"/>
  <c r="Q20" i="3"/>
  <c r="N20" i="3"/>
  <c r="Q15" i="3"/>
  <c r="N15" i="3"/>
  <c r="H3" i="2"/>
  <c r="I3" i="2"/>
  <c r="H2" i="2"/>
  <c r="I2" i="2"/>
  <c r="D3" i="2"/>
  <c r="Q20" i="1"/>
  <c r="N20" i="1"/>
  <c r="Q15" i="1"/>
  <c r="N15" i="1"/>
  <c r="Q17" i="1"/>
  <c r="Q18" i="1" s="1"/>
  <c r="N17" i="1"/>
  <c r="N18" i="1" s="1"/>
  <c r="Q12" i="1"/>
  <c r="Q13" i="1" s="1"/>
  <c r="N12" i="1"/>
  <c r="N13" i="1" s="1"/>
  <c r="D2" i="2"/>
  <c r="J7" i="2" l="1"/>
  <c r="J5" i="2"/>
  <c r="J2" i="2"/>
  <c r="J6" i="2"/>
  <c r="K6" i="2" s="1"/>
  <c r="L6" i="2" s="1"/>
  <c r="K2" i="2"/>
  <c r="L2" i="2" s="1"/>
  <c r="K5" i="2"/>
  <c r="L5" i="2" s="1"/>
  <c r="K7" i="2"/>
  <c r="L7" i="2" s="1"/>
  <c r="J4" i="2"/>
  <c r="K4" i="2" s="1"/>
  <c r="L4" i="2" s="1"/>
  <c r="J3" i="2"/>
  <c r="K3" i="2" s="1"/>
  <c r="L3" i="2" s="1"/>
  <c r="L8" i="2" l="1"/>
</calcChain>
</file>

<file path=xl/sharedStrings.xml><?xml version="1.0" encoding="utf-8"?>
<sst xmlns="http://schemas.openxmlformats.org/spreadsheetml/2006/main" count="111" uniqueCount="38">
  <si>
    <t>Distance_(pixels)</t>
  </si>
  <si>
    <t>Gray_Value</t>
  </si>
  <si>
    <t>t1</t>
  </si>
  <si>
    <t>t2</t>
  </si>
  <si>
    <t>t2-t1</t>
  </si>
  <si>
    <t>FWHM t1 (pixels)</t>
  </si>
  <si>
    <t>FWHM t2(pixels)</t>
  </si>
  <si>
    <t>pixel in mm</t>
  </si>
  <si>
    <t>sig2sq-sig1sq (pixel2)</t>
  </si>
  <si>
    <t>D (mm2/sec)</t>
  </si>
  <si>
    <t>D (10^-9 m2/sec)</t>
  </si>
  <si>
    <t>t1 =  50.237</t>
  </si>
  <si>
    <t>t2 = 121.455</t>
  </si>
  <si>
    <t>indicates min(Y)</t>
  </si>
  <si>
    <t>indicates max(Y). Average of both maximum is taken</t>
  </si>
  <si>
    <t>x-Scan</t>
  </si>
  <si>
    <t>y-Scan</t>
  </si>
  <si>
    <t>x_scan</t>
  </si>
  <si>
    <t>y_scan</t>
  </si>
  <si>
    <t>min(Y)</t>
  </si>
  <si>
    <t>max(Y)</t>
  </si>
  <si>
    <t>Distance(pixels) at Half-Maxima</t>
  </si>
  <si>
    <t>Half-Maxima (AVG(max(Y), min(Y))</t>
  </si>
  <si>
    <t>FWHM</t>
  </si>
  <si>
    <t>sig1sq</t>
  </si>
  <si>
    <t>sig2sq</t>
  </si>
  <si>
    <t>t1 = 40.441</t>
  </si>
  <si>
    <t>t2 = 150.542</t>
  </si>
  <si>
    <t>x-scan1</t>
  </si>
  <si>
    <t>x-scan2</t>
  </si>
  <si>
    <t>x-scan3</t>
  </si>
  <si>
    <t>y-scan1</t>
  </si>
  <si>
    <t>y-scan3</t>
  </si>
  <si>
    <t>y-scan2</t>
  </si>
  <si>
    <t>Average D</t>
  </si>
  <si>
    <t xml:space="preserve"> </t>
  </si>
  <si>
    <t>AVERAGE</t>
  </si>
  <si>
    <t>1mm = 3.3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</si>
</sst>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1" applyNumberFormat="1" applyFont="1"/>
    <xf numFmtId="0" fontId="0" fillId="7" borderId="0" xfId="0" applyFill="1"/>
    <xf numFmtId="0" fontId="2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6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D5A9-529D-4343-B14F-B6F199AEA85D}">
  <dimension ref="A1:R135"/>
  <sheetViews>
    <sheetView topLeftCell="B1" workbookViewId="0">
      <selection activeCell="K4" sqref="K4"/>
    </sheetView>
  </sheetViews>
  <sheetFormatPr defaultRowHeight="14.4" x14ac:dyDescent="0.3"/>
  <cols>
    <col min="1" max="1" width="17.109375" customWidth="1"/>
    <col min="2" max="2" width="12.88671875" customWidth="1"/>
    <col min="3" max="3" width="16.88671875" customWidth="1"/>
    <col min="4" max="4" width="12.88671875" customWidth="1"/>
    <col min="6" max="6" width="16.88671875" customWidth="1"/>
    <col min="7" max="7" width="12.33203125" customWidth="1"/>
    <col min="8" max="8" width="18" customWidth="1"/>
    <col min="9" max="9" width="12.33203125" customWidth="1"/>
    <col min="12" max="12" width="27.44140625" customWidth="1"/>
    <col min="13" max="13" width="7.5546875" customWidth="1"/>
    <col min="16" max="16" width="6.44140625" customWidth="1"/>
  </cols>
  <sheetData>
    <row r="1" spans="1:18" x14ac:dyDescent="0.3">
      <c r="A1" s="18" t="s">
        <v>11</v>
      </c>
      <c r="B1" s="18"/>
      <c r="C1" s="18"/>
      <c r="D1" s="18"/>
      <c r="F1" s="18" t="s">
        <v>12</v>
      </c>
      <c r="G1" s="18"/>
      <c r="H1" s="18"/>
      <c r="I1" s="18"/>
    </row>
    <row r="2" spans="1:18" x14ac:dyDescent="0.3">
      <c r="A2" s="5"/>
      <c r="B2" s="6"/>
      <c r="C2" s="6"/>
      <c r="D2" s="6"/>
      <c r="F2" s="5"/>
      <c r="G2" s="6"/>
      <c r="H2" s="6"/>
      <c r="I2" s="6"/>
    </row>
    <row r="3" spans="1:18" x14ac:dyDescent="0.3">
      <c r="A3" s="17" t="s">
        <v>15</v>
      </c>
      <c r="B3" s="17"/>
      <c r="C3" s="17" t="s">
        <v>16</v>
      </c>
      <c r="D3" s="17"/>
      <c r="F3" s="17" t="s">
        <v>15</v>
      </c>
      <c r="G3" s="17"/>
      <c r="H3" s="17" t="s">
        <v>16</v>
      </c>
      <c r="I3" s="17"/>
    </row>
    <row r="4" spans="1:18" x14ac:dyDescent="0.3">
      <c r="A4" s="5" t="s">
        <v>0</v>
      </c>
      <c r="B4" s="5" t="s">
        <v>1</v>
      </c>
      <c r="C4" s="5" t="s">
        <v>0</v>
      </c>
      <c r="D4" s="5" t="s">
        <v>1</v>
      </c>
      <c r="F4" s="5" t="s">
        <v>0</v>
      </c>
      <c r="G4" s="5" t="s">
        <v>1</v>
      </c>
      <c r="H4" s="5" t="s">
        <v>0</v>
      </c>
      <c r="I4" s="5" t="s">
        <v>1</v>
      </c>
    </row>
    <row r="5" spans="1:18" x14ac:dyDescent="0.3">
      <c r="A5">
        <v>0</v>
      </c>
      <c r="B5">
        <v>146.63890000000001</v>
      </c>
      <c r="C5">
        <v>0</v>
      </c>
      <c r="D5">
        <v>146.83330000000001</v>
      </c>
      <c r="F5">
        <v>0</v>
      </c>
      <c r="G5">
        <v>138.25</v>
      </c>
      <c r="H5">
        <v>0</v>
      </c>
      <c r="I5">
        <v>142</v>
      </c>
    </row>
    <row r="6" spans="1:18" x14ac:dyDescent="0.3">
      <c r="A6">
        <v>1</v>
      </c>
      <c r="B6">
        <v>143.785</v>
      </c>
      <c r="C6">
        <v>1</v>
      </c>
      <c r="D6">
        <v>147.40700000000001</v>
      </c>
      <c r="F6">
        <v>1</v>
      </c>
      <c r="G6">
        <v>140.49520000000001</v>
      </c>
      <c r="H6">
        <v>1</v>
      </c>
      <c r="I6">
        <v>143</v>
      </c>
      <c r="K6" s="2"/>
      <c r="L6" t="s">
        <v>14</v>
      </c>
    </row>
    <row r="7" spans="1:18" x14ac:dyDescent="0.3">
      <c r="A7">
        <v>2</v>
      </c>
      <c r="B7">
        <v>142.3098</v>
      </c>
      <c r="C7">
        <v>2</v>
      </c>
      <c r="D7">
        <v>145.46600000000001</v>
      </c>
      <c r="F7">
        <v>2</v>
      </c>
      <c r="G7">
        <v>142.23089999999999</v>
      </c>
      <c r="H7">
        <v>2</v>
      </c>
      <c r="I7">
        <v>144</v>
      </c>
    </row>
    <row r="8" spans="1:18" x14ac:dyDescent="0.3">
      <c r="A8">
        <v>3</v>
      </c>
      <c r="B8">
        <v>140.33099999999999</v>
      </c>
      <c r="C8">
        <v>3</v>
      </c>
      <c r="D8">
        <v>144.4693</v>
      </c>
      <c r="F8">
        <v>3</v>
      </c>
      <c r="G8">
        <v>143.75020000000001</v>
      </c>
      <c r="H8">
        <v>3</v>
      </c>
      <c r="I8">
        <v>143</v>
      </c>
      <c r="K8" s="3"/>
      <c r="L8" t="s">
        <v>13</v>
      </c>
    </row>
    <row r="9" spans="1:18" x14ac:dyDescent="0.3">
      <c r="A9">
        <v>4</v>
      </c>
      <c r="B9">
        <v>141.0231</v>
      </c>
      <c r="C9">
        <v>4</v>
      </c>
      <c r="D9">
        <v>145.17660000000001</v>
      </c>
      <c r="F9">
        <v>4</v>
      </c>
      <c r="G9">
        <v>144.73060000000001</v>
      </c>
      <c r="H9">
        <v>4</v>
      </c>
      <c r="I9">
        <v>147</v>
      </c>
    </row>
    <row r="10" spans="1:18" x14ac:dyDescent="0.3">
      <c r="A10">
        <v>5</v>
      </c>
      <c r="B10">
        <v>144.5591</v>
      </c>
      <c r="C10" s="1">
        <v>5</v>
      </c>
      <c r="D10" s="1">
        <v>145.29820000000001</v>
      </c>
      <c r="F10" s="1">
        <v>5</v>
      </c>
      <c r="G10" s="1">
        <v>145.04759999999999</v>
      </c>
      <c r="H10" s="1">
        <v>5</v>
      </c>
      <c r="I10" s="1">
        <v>147</v>
      </c>
      <c r="N10" s="17" t="s">
        <v>17</v>
      </c>
      <c r="O10" s="17"/>
      <c r="P10" s="5"/>
      <c r="Q10" s="17" t="s">
        <v>18</v>
      </c>
      <c r="R10" s="17"/>
    </row>
    <row r="11" spans="1:18" x14ac:dyDescent="0.3">
      <c r="A11" s="1">
        <v>6</v>
      </c>
      <c r="B11" s="1">
        <v>145.71860000000001</v>
      </c>
      <c r="C11">
        <v>6</v>
      </c>
      <c r="D11">
        <v>142.48249999999999</v>
      </c>
      <c r="F11">
        <v>6</v>
      </c>
      <c r="G11">
        <v>143.55879999999999</v>
      </c>
      <c r="H11" s="8">
        <v>6</v>
      </c>
      <c r="I11">
        <v>146</v>
      </c>
      <c r="N11" s="6" t="s">
        <v>20</v>
      </c>
      <c r="O11" s="6" t="s">
        <v>19</v>
      </c>
      <c r="P11" s="6"/>
      <c r="Q11" s="6" t="s">
        <v>20</v>
      </c>
      <c r="R11" s="6" t="s">
        <v>19</v>
      </c>
    </row>
    <row r="12" spans="1:18" x14ac:dyDescent="0.3">
      <c r="A12">
        <v>7</v>
      </c>
      <c r="B12">
        <v>142.9442</v>
      </c>
      <c r="C12">
        <v>7</v>
      </c>
      <c r="D12">
        <v>137.16909999999999</v>
      </c>
      <c r="F12">
        <v>7</v>
      </c>
      <c r="G12">
        <v>142.24889999999999</v>
      </c>
      <c r="H12">
        <v>7</v>
      </c>
      <c r="I12">
        <v>143</v>
      </c>
      <c r="K12" s="18" t="s">
        <v>11</v>
      </c>
      <c r="L12" s="20"/>
      <c r="M12" s="6"/>
      <c r="N12" s="6">
        <f>AVERAGE(B76,B11)</f>
        <v>150.01745</v>
      </c>
      <c r="O12" s="6">
        <v>68</v>
      </c>
      <c r="P12" s="6"/>
      <c r="Q12" s="6">
        <f>AVERAGE(D10,D76)</f>
        <v>148.0548</v>
      </c>
      <c r="R12" s="6">
        <v>68</v>
      </c>
    </row>
    <row r="13" spans="1:18" x14ac:dyDescent="0.3">
      <c r="A13">
        <v>8</v>
      </c>
      <c r="B13">
        <v>140.99600000000001</v>
      </c>
      <c r="C13">
        <v>8</v>
      </c>
      <c r="D13">
        <v>132.4298</v>
      </c>
      <c r="F13">
        <v>8</v>
      </c>
      <c r="G13">
        <v>142</v>
      </c>
      <c r="H13">
        <v>8</v>
      </c>
      <c r="I13">
        <v>143</v>
      </c>
      <c r="K13" s="19" t="s">
        <v>22</v>
      </c>
      <c r="L13" s="19"/>
      <c r="M13" s="6"/>
      <c r="N13" s="19">
        <f>AVERAGE(N12,O12)</f>
        <v>109.008725</v>
      </c>
      <c r="O13" s="19"/>
      <c r="P13" s="6"/>
      <c r="Q13" s="19">
        <f>AVERAGE(Q12,R12)</f>
        <v>108.0274</v>
      </c>
      <c r="R13" s="19"/>
    </row>
    <row r="14" spans="1:18" x14ac:dyDescent="0.3">
      <c r="A14">
        <v>9</v>
      </c>
      <c r="B14">
        <v>135.58430000000001</v>
      </c>
      <c r="C14">
        <v>9</v>
      </c>
      <c r="D14">
        <v>127.1327</v>
      </c>
      <c r="F14">
        <v>9</v>
      </c>
      <c r="G14">
        <v>142</v>
      </c>
      <c r="H14">
        <v>9</v>
      </c>
      <c r="I14">
        <v>142</v>
      </c>
      <c r="K14" s="19" t="s">
        <v>21</v>
      </c>
      <c r="L14" s="19"/>
      <c r="M14" s="6"/>
      <c r="N14" s="6">
        <v>15</v>
      </c>
      <c r="O14" s="6">
        <v>60</v>
      </c>
      <c r="P14" s="6"/>
      <c r="Q14" s="6">
        <v>13</v>
      </c>
      <c r="R14" s="6">
        <v>58</v>
      </c>
    </row>
    <row r="15" spans="1:18" x14ac:dyDescent="0.3">
      <c r="A15">
        <v>10</v>
      </c>
      <c r="B15">
        <v>131.27500000000001</v>
      </c>
      <c r="C15">
        <v>10</v>
      </c>
      <c r="D15">
        <v>121.4592</v>
      </c>
      <c r="F15">
        <v>10</v>
      </c>
      <c r="G15">
        <v>142.24770000000001</v>
      </c>
      <c r="H15">
        <v>10</v>
      </c>
      <c r="I15">
        <v>141.85149999999999</v>
      </c>
      <c r="K15" s="21" t="s">
        <v>23</v>
      </c>
      <c r="L15" s="21"/>
      <c r="M15" s="5"/>
      <c r="N15" s="21">
        <f>(O14-N14)</f>
        <v>45</v>
      </c>
      <c r="O15" s="21"/>
      <c r="P15" s="5"/>
      <c r="Q15" s="21">
        <f>(R14-Q14)</f>
        <v>45</v>
      </c>
      <c r="R15" s="21"/>
    </row>
    <row r="16" spans="1:18" x14ac:dyDescent="0.3">
      <c r="A16">
        <v>11</v>
      </c>
      <c r="B16">
        <v>126.3764</v>
      </c>
      <c r="C16">
        <v>11</v>
      </c>
      <c r="D16">
        <v>117.3466</v>
      </c>
      <c r="F16">
        <v>11</v>
      </c>
      <c r="G16">
        <v>141.363</v>
      </c>
      <c r="H16">
        <v>11</v>
      </c>
      <c r="I16">
        <v>141.8366</v>
      </c>
      <c r="N16" s="6"/>
      <c r="O16" s="6"/>
      <c r="P16" s="6"/>
      <c r="Q16" s="6"/>
      <c r="R16" s="6"/>
    </row>
    <row r="17" spans="1:18" x14ac:dyDescent="0.3">
      <c r="A17">
        <v>12</v>
      </c>
      <c r="B17">
        <v>121.3249</v>
      </c>
      <c r="C17">
        <v>12</v>
      </c>
      <c r="D17">
        <v>113.7632</v>
      </c>
      <c r="F17">
        <v>12</v>
      </c>
      <c r="G17">
        <v>140.1831</v>
      </c>
      <c r="H17">
        <v>12</v>
      </c>
      <c r="I17">
        <v>138</v>
      </c>
      <c r="K17" s="18" t="s">
        <v>12</v>
      </c>
      <c r="L17" s="20"/>
      <c r="M17" s="6"/>
      <c r="N17" s="6">
        <f>AVERAGE(G10,G104)</f>
        <v>147.41114999999999</v>
      </c>
      <c r="O17" s="6">
        <v>107.74290000000001</v>
      </c>
      <c r="P17" s="6"/>
      <c r="Q17" s="6">
        <f>AVERAGE(I10,I99)</f>
        <v>147</v>
      </c>
      <c r="R17" s="6">
        <v>107.57429999999999</v>
      </c>
    </row>
    <row r="18" spans="1:18" x14ac:dyDescent="0.3">
      <c r="A18">
        <v>13</v>
      </c>
      <c r="B18">
        <v>117.2516</v>
      </c>
      <c r="C18">
        <v>13</v>
      </c>
      <c r="D18">
        <v>108.55970000000001</v>
      </c>
      <c r="F18">
        <v>13</v>
      </c>
      <c r="G18">
        <v>140.5077</v>
      </c>
      <c r="H18">
        <v>13</v>
      </c>
      <c r="I18">
        <v>137</v>
      </c>
      <c r="K18" s="19" t="s">
        <v>22</v>
      </c>
      <c r="L18" s="19"/>
      <c r="M18" s="6"/>
      <c r="N18" s="19">
        <f>AVERAGE(N17,O17)</f>
        <v>127.57702499999999</v>
      </c>
      <c r="O18" s="19"/>
      <c r="P18" s="6"/>
      <c r="Q18" s="19">
        <f>AVERAGE(Q17,R17)</f>
        <v>127.28715</v>
      </c>
      <c r="R18" s="19"/>
    </row>
    <row r="19" spans="1:18" x14ac:dyDescent="0.3">
      <c r="A19">
        <v>14</v>
      </c>
      <c r="B19">
        <v>111.7654</v>
      </c>
      <c r="C19">
        <v>14</v>
      </c>
      <c r="D19">
        <v>102.6294</v>
      </c>
      <c r="F19">
        <v>14</v>
      </c>
      <c r="G19">
        <v>139.07560000000001</v>
      </c>
      <c r="H19">
        <v>14</v>
      </c>
      <c r="I19">
        <v>135</v>
      </c>
      <c r="K19" s="19" t="s">
        <v>21</v>
      </c>
      <c r="L19" s="19"/>
      <c r="M19" s="6"/>
      <c r="N19" s="6">
        <v>22</v>
      </c>
      <c r="O19" s="6">
        <v>82</v>
      </c>
      <c r="P19" s="6"/>
      <c r="Q19" s="6">
        <v>20</v>
      </c>
      <c r="R19" s="6">
        <v>77</v>
      </c>
    </row>
    <row r="20" spans="1:18" x14ac:dyDescent="0.3">
      <c r="A20">
        <v>15</v>
      </c>
      <c r="B20">
        <v>108.60339999999999</v>
      </c>
      <c r="C20">
        <v>15</v>
      </c>
      <c r="D20">
        <v>98.322000000000003</v>
      </c>
      <c r="F20">
        <v>15</v>
      </c>
      <c r="G20">
        <v>136.2449</v>
      </c>
      <c r="H20">
        <v>15</v>
      </c>
      <c r="I20">
        <v>135</v>
      </c>
      <c r="K20" s="21" t="s">
        <v>23</v>
      </c>
      <c r="L20" s="21"/>
      <c r="M20" s="5"/>
      <c r="N20" s="21">
        <f>(O19-N19)</f>
        <v>60</v>
      </c>
      <c r="O20" s="21"/>
      <c r="P20" s="5"/>
      <c r="Q20" s="21">
        <f>(R19-Q19)</f>
        <v>57</v>
      </c>
      <c r="R20" s="21"/>
    </row>
    <row r="21" spans="1:18" x14ac:dyDescent="0.3">
      <c r="A21">
        <v>16</v>
      </c>
      <c r="B21">
        <v>105.6104</v>
      </c>
      <c r="C21">
        <v>16</v>
      </c>
      <c r="D21">
        <v>95.692999999999998</v>
      </c>
      <c r="F21">
        <v>16</v>
      </c>
      <c r="G21">
        <v>135.09180000000001</v>
      </c>
      <c r="H21">
        <v>16</v>
      </c>
      <c r="I21">
        <v>132.76240000000001</v>
      </c>
    </row>
    <row r="22" spans="1:18" x14ac:dyDescent="0.3">
      <c r="A22">
        <v>17</v>
      </c>
      <c r="B22">
        <v>101.5346</v>
      </c>
      <c r="C22">
        <v>17</v>
      </c>
      <c r="D22">
        <v>91.0946</v>
      </c>
      <c r="F22">
        <v>17</v>
      </c>
      <c r="G22">
        <v>134.1619</v>
      </c>
      <c r="H22">
        <v>17</v>
      </c>
      <c r="I22">
        <v>129.7475</v>
      </c>
    </row>
    <row r="23" spans="1:18" x14ac:dyDescent="0.3">
      <c r="A23">
        <v>18</v>
      </c>
      <c r="B23">
        <v>96.733800000000002</v>
      </c>
      <c r="C23">
        <v>18</v>
      </c>
      <c r="D23">
        <v>87.006500000000003</v>
      </c>
      <c r="F23">
        <v>18</v>
      </c>
      <c r="G23">
        <v>132.4143</v>
      </c>
      <c r="H23">
        <v>18</v>
      </c>
      <c r="I23">
        <v>129</v>
      </c>
    </row>
    <row r="24" spans="1:18" x14ac:dyDescent="0.3">
      <c r="A24">
        <v>19</v>
      </c>
      <c r="B24">
        <v>93.831199999999995</v>
      </c>
      <c r="C24">
        <v>19</v>
      </c>
      <c r="D24">
        <v>85.666700000000006</v>
      </c>
      <c r="F24">
        <v>19</v>
      </c>
      <c r="G24">
        <v>131.4228</v>
      </c>
      <c r="H24">
        <v>19</v>
      </c>
      <c r="I24">
        <v>129</v>
      </c>
    </row>
    <row r="25" spans="1:18" x14ac:dyDescent="0.3">
      <c r="A25">
        <v>20</v>
      </c>
      <c r="B25">
        <v>91.759699999999995</v>
      </c>
      <c r="C25">
        <v>20</v>
      </c>
      <c r="D25">
        <v>84.170400000000001</v>
      </c>
      <c r="F25">
        <v>20</v>
      </c>
      <c r="G25">
        <v>129.83619999999999</v>
      </c>
      <c r="H25">
        <v>20</v>
      </c>
      <c r="I25">
        <v>126</v>
      </c>
    </row>
    <row r="26" spans="1:18" x14ac:dyDescent="0.3">
      <c r="A26">
        <v>21</v>
      </c>
      <c r="B26">
        <v>88.7727</v>
      </c>
      <c r="C26">
        <v>21</v>
      </c>
      <c r="D26">
        <v>81.069699999999997</v>
      </c>
      <c r="F26">
        <v>21</v>
      </c>
      <c r="G26">
        <v>128.96</v>
      </c>
      <c r="H26">
        <v>21</v>
      </c>
      <c r="I26">
        <v>123.6238</v>
      </c>
    </row>
    <row r="27" spans="1:18" x14ac:dyDescent="0.3">
      <c r="A27">
        <v>22</v>
      </c>
      <c r="B27">
        <v>85.785700000000006</v>
      </c>
      <c r="C27">
        <v>22</v>
      </c>
      <c r="D27">
        <v>78.131600000000006</v>
      </c>
      <c r="F27">
        <v>22</v>
      </c>
      <c r="G27">
        <v>127.6048</v>
      </c>
      <c r="H27">
        <v>22</v>
      </c>
      <c r="I27">
        <v>124</v>
      </c>
    </row>
    <row r="28" spans="1:18" x14ac:dyDescent="0.3">
      <c r="A28">
        <v>23</v>
      </c>
      <c r="B28">
        <v>82.937399999999997</v>
      </c>
      <c r="C28">
        <v>23</v>
      </c>
      <c r="D28">
        <v>75.680899999999994</v>
      </c>
      <c r="F28">
        <v>23</v>
      </c>
      <c r="G28">
        <v>126.30459999999999</v>
      </c>
      <c r="H28">
        <v>23</v>
      </c>
      <c r="I28">
        <v>122.6584</v>
      </c>
    </row>
    <row r="29" spans="1:18" x14ac:dyDescent="0.3">
      <c r="A29">
        <v>24</v>
      </c>
      <c r="B29">
        <v>81.933300000000003</v>
      </c>
      <c r="C29">
        <v>24</v>
      </c>
      <c r="D29">
        <v>74.491900000000001</v>
      </c>
      <c r="F29">
        <v>24</v>
      </c>
      <c r="G29">
        <v>125.1404</v>
      </c>
      <c r="H29">
        <v>24</v>
      </c>
      <c r="I29">
        <v>123</v>
      </c>
    </row>
    <row r="30" spans="1:18" x14ac:dyDescent="0.3">
      <c r="A30">
        <v>25</v>
      </c>
      <c r="B30">
        <v>79.886499999999998</v>
      </c>
      <c r="C30">
        <v>25</v>
      </c>
      <c r="D30">
        <v>72.434200000000004</v>
      </c>
      <c r="F30">
        <v>25</v>
      </c>
      <c r="G30">
        <v>124.3832</v>
      </c>
      <c r="H30">
        <v>25</v>
      </c>
      <c r="I30">
        <v>120.37130000000001</v>
      </c>
    </row>
    <row r="31" spans="1:18" x14ac:dyDescent="0.3">
      <c r="A31">
        <v>26</v>
      </c>
      <c r="B31">
        <v>77.942999999999998</v>
      </c>
      <c r="C31">
        <v>26</v>
      </c>
      <c r="D31">
        <v>71.850899999999996</v>
      </c>
      <c r="F31">
        <v>26</v>
      </c>
      <c r="G31">
        <v>122.24760000000001</v>
      </c>
      <c r="H31">
        <v>26</v>
      </c>
      <c r="I31">
        <v>117</v>
      </c>
    </row>
    <row r="32" spans="1:18" x14ac:dyDescent="0.3">
      <c r="A32">
        <v>27</v>
      </c>
      <c r="B32">
        <v>75.897999999999996</v>
      </c>
      <c r="C32">
        <v>27</v>
      </c>
      <c r="D32">
        <v>71.160899999999998</v>
      </c>
      <c r="F32">
        <v>27</v>
      </c>
      <c r="G32">
        <v>120</v>
      </c>
      <c r="H32">
        <v>27</v>
      </c>
      <c r="I32">
        <v>118</v>
      </c>
    </row>
    <row r="33" spans="1:9" x14ac:dyDescent="0.3">
      <c r="A33">
        <v>28</v>
      </c>
      <c r="B33">
        <v>73.822299999999998</v>
      </c>
      <c r="C33">
        <v>28</v>
      </c>
      <c r="D33">
        <v>69.622799999999998</v>
      </c>
      <c r="F33">
        <v>28</v>
      </c>
      <c r="G33">
        <v>119.2689</v>
      </c>
      <c r="H33">
        <v>28</v>
      </c>
      <c r="I33">
        <v>116.5842</v>
      </c>
    </row>
    <row r="34" spans="1:9" x14ac:dyDescent="0.3">
      <c r="A34">
        <v>29</v>
      </c>
      <c r="B34">
        <v>71.039400000000001</v>
      </c>
      <c r="C34">
        <v>29</v>
      </c>
      <c r="D34">
        <v>69</v>
      </c>
      <c r="F34">
        <v>29</v>
      </c>
      <c r="G34">
        <v>118.9547</v>
      </c>
      <c r="H34">
        <v>29</v>
      </c>
      <c r="I34">
        <v>114</v>
      </c>
    </row>
    <row r="35" spans="1:9" x14ac:dyDescent="0.3">
      <c r="A35">
        <v>30</v>
      </c>
      <c r="B35">
        <v>70.963200000000001</v>
      </c>
      <c r="C35">
        <v>30</v>
      </c>
      <c r="D35">
        <v>69</v>
      </c>
      <c r="F35">
        <v>30</v>
      </c>
      <c r="G35">
        <v>118.4592</v>
      </c>
      <c r="H35">
        <v>30</v>
      </c>
      <c r="I35">
        <v>114</v>
      </c>
    </row>
    <row r="36" spans="1:9" x14ac:dyDescent="0.3">
      <c r="A36">
        <v>31</v>
      </c>
      <c r="B36">
        <v>69.936099999999996</v>
      </c>
      <c r="C36">
        <v>31</v>
      </c>
      <c r="D36">
        <v>68.278300000000002</v>
      </c>
      <c r="F36">
        <v>31</v>
      </c>
      <c r="G36">
        <v>117.06699999999999</v>
      </c>
      <c r="H36">
        <v>31</v>
      </c>
      <c r="I36">
        <v>113</v>
      </c>
    </row>
    <row r="37" spans="1:9" x14ac:dyDescent="0.3">
      <c r="A37">
        <v>32</v>
      </c>
      <c r="B37">
        <v>68.027299999999997</v>
      </c>
      <c r="C37">
        <v>32</v>
      </c>
      <c r="D37">
        <v>66.6404</v>
      </c>
      <c r="F37">
        <v>32</v>
      </c>
      <c r="G37">
        <v>115</v>
      </c>
      <c r="H37">
        <v>32</v>
      </c>
      <c r="I37">
        <v>112.4753</v>
      </c>
    </row>
    <row r="38" spans="1:9" x14ac:dyDescent="0.3">
      <c r="A38">
        <v>33</v>
      </c>
      <c r="B38">
        <v>67.976799999999997</v>
      </c>
      <c r="C38">
        <v>33</v>
      </c>
      <c r="D38">
        <v>66.3553</v>
      </c>
      <c r="F38">
        <v>33</v>
      </c>
      <c r="G38">
        <v>114.1078</v>
      </c>
      <c r="H38">
        <v>33</v>
      </c>
      <c r="I38">
        <v>112</v>
      </c>
    </row>
    <row r="39" spans="1:9" x14ac:dyDescent="0.3">
      <c r="A39">
        <v>34</v>
      </c>
      <c r="B39">
        <v>67.019499999999994</v>
      </c>
      <c r="C39" s="7">
        <v>34</v>
      </c>
      <c r="D39" s="7">
        <v>67.372399999999999</v>
      </c>
      <c r="F39">
        <v>34</v>
      </c>
      <c r="G39">
        <v>113.21429999999999</v>
      </c>
      <c r="H39">
        <v>34</v>
      </c>
      <c r="I39">
        <v>111</v>
      </c>
    </row>
    <row r="40" spans="1:9" x14ac:dyDescent="0.3">
      <c r="A40">
        <v>35</v>
      </c>
      <c r="B40">
        <v>67.030100000000004</v>
      </c>
      <c r="C40">
        <v>35</v>
      </c>
      <c r="D40">
        <v>68.057299999999998</v>
      </c>
      <c r="F40">
        <v>35</v>
      </c>
      <c r="G40">
        <v>112.2222</v>
      </c>
      <c r="H40">
        <v>35</v>
      </c>
      <c r="I40">
        <v>110.4802</v>
      </c>
    </row>
    <row r="41" spans="1:9" x14ac:dyDescent="0.3">
      <c r="A41">
        <v>36</v>
      </c>
      <c r="B41">
        <v>68</v>
      </c>
      <c r="C41">
        <v>36</v>
      </c>
      <c r="D41">
        <v>68</v>
      </c>
      <c r="F41">
        <v>36</v>
      </c>
      <c r="G41">
        <v>112</v>
      </c>
      <c r="H41">
        <v>36</v>
      </c>
      <c r="I41">
        <v>110.5347</v>
      </c>
    </row>
    <row r="42" spans="1:9" x14ac:dyDescent="0.3">
      <c r="A42">
        <v>37</v>
      </c>
      <c r="B42">
        <v>68</v>
      </c>
      <c r="C42">
        <v>37</v>
      </c>
      <c r="D42">
        <v>68</v>
      </c>
      <c r="F42">
        <v>37</v>
      </c>
      <c r="G42">
        <v>112</v>
      </c>
      <c r="H42">
        <v>37</v>
      </c>
      <c r="I42">
        <v>110.54949999999999</v>
      </c>
    </row>
    <row r="43" spans="1:9" x14ac:dyDescent="0.3">
      <c r="A43">
        <v>38</v>
      </c>
      <c r="B43">
        <v>68</v>
      </c>
      <c r="C43">
        <v>38</v>
      </c>
      <c r="D43">
        <v>68</v>
      </c>
      <c r="F43">
        <v>38</v>
      </c>
      <c r="G43">
        <v>112</v>
      </c>
      <c r="H43">
        <v>38</v>
      </c>
      <c r="I43">
        <v>110</v>
      </c>
    </row>
    <row r="44" spans="1:9" x14ac:dyDescent="0.3">
      <c r="A44" s="4">
        <v>39</v>
      </c>
      <c r="B44" s="4">
        <v>68</v>
      </c>
      <c r="C44" s="4">
        <v>39</v>
      </c>
      <c r="D44" s="4">
        <v>68</v>
      </c>
      <c r="F44">
        <v>39</v>
      </c>
      <c r="G44">
        <v>112</v>
      </c>
      <c r="H44">
        <v>39</v>
      </c>
      <c r="I44">
        <v>110.4208</v>
      </c>
    </row>
    <row r="45" spans="1:9" x14ac:dyDescent="0.3">
      <c r="A45">
        <v>40</v>
      </c>
      <c r="B45">
        <v>68</v>
      </c>
      <c r="C45">
        <v>40</v>
      </c>
      <c r="D45">
        <v>68</v>
      </c>
      <c r="F45">
        <v>40</v>
      </c>
      <c r="G45">
        <v>111.6905</v>
      </c>
      <c r="H45">
        <v>40</v>
      </c>
      <c r="I45">
        <v>110</v>
      </c>
    </row>
    <row r="46" spans="1:9" x14ac:dyDescent="0.3">
      <c r="A46">
        <v>41</v>
      </c>
      <c r="B46">
        <v>68</v>
      </c>
      <c r="C46">
        <v>41</v>
      </c>
      <c r="D46">
        <v>68.3202</v>
      </c>
      <c r="F46">
        <v>41</v>
      </c>
      <c r="G46">
        <v>111</v>
      </c>
      <c r="H46">
        <v>41</v>
      </c>
      <c r="I46">
        <v>110</v>
      </c>
    </row>
    <row r="47" spans="1:9" x14ac:dyDescent="0.3">
      <c r="A47">
        <v>42</v>
      </c>
      <c r="B47">
        <v>68.984800000000007</v>
      </c>
      <c r="C47">
        <v>42</v>
      </c>
      <c r="D47">
        <v>69.315799999999996</v>
      </c>
      <c r="F47">
        <v>42</v>
      </c>
      <c r="G47">
        <v>111</v>
      </c>
      <c r="H47">
        <v>42</v>
      </c>
      <c r="I47">
        <v>110</v>
      </c>
    </row>
    <row r="48" spans="1:9" x14ac:dyDescent="0.3">
      <c r="A48">
        <v>43</v>
      </c>
      <c r="B48">
        <v>69</v>
      </c>
      <c r="C48">
        <v>43</v>
      </c>
      <c r="D48">
        <v>70.622799999999998</v>
      </c>
      <c r="F48">
        <v>43</v>
      </c>
      <c r="G48">
        <v>110.70480000000001</v>
      </c>
      <c r="H48">
        <v>43</v>
      </c>
      <c r="I48">
        <v>110</v>
      </c>
    </row>
    <row r="49" spans="1:9" x14ac:dyDescent="0.3">
      <c r="A49">
        <v>44</v>
      </c>
      <c r="B49">
        <v>70.952399999999997</v>
      </c>
      <c r="C49">
        <v>44</v>
      </c>
      <c r="D49">
        <v>72.414699999999996</v>
      </c>
      <c r="F49">
        <v>44</v>
      </c>
      <c r="G49">
        <v>110</v>
      </c>
      <c r="H49">
        <v>44</v>
      </c>
      <c r="I49">
        <v>108.65349999999999</v>
      </c>
    </row>
    <row r="50" spans="1:9" x14ac:dyDescent="0.3">
      <c r="A50">
        <v>45</v>
      </c>
      <c r="B50">
        <v>71.971900000000005</v>
      </c>
      <c r="C50">
        <v>45</v>
      </c>
      <c r="D50">
        <v>74.009699999999995</v>
      </c>
      <c r="F50">
        <v>45</v>
      </c>
      <c r="G50">
        <v>110</v>
      </c>
      <c r="H50">
        <v>45</v>
      </c>
      <c r="I50">
        <v>108.3317</v>
      </c>
    </row>
    <row r="51" spans="1:9" x14ac:dyDescent="0.3">
      <c r="A51">
        <v>46</v>
      </c>
      <c r="B51">
        <v>72.967500000000001</v>
      </c>
      <c r="C51">
        <v>46</v>
      </c>
      <c r="D51">
        <v>75.921099999999996</v>
      </c>
      <c r="F51">
        <v>46</v>
      </c>
      <c r="G51">
        <v>109.9211</v>
      </c>
      <c r="H51">
        <v>46</v>
      </c>
      <c r="I51">
        <v>107.6337</v>
      </c>
    </row>
    <row r="52" spans="1:9" x14ac:dyDescent="0.3">
      <c r="A52">
        <v>47</v>
      </c>
      <c r="B52">
        <v>74.926400000000001</v>
      </c>
      <c r="C52">
        <v>47</v>
      </c>
      <c r="D52">
        <v>77.302800000000005</v>
      </c>
      <c r="F52">
        <v>47</v>
      </c>
      <c r="G52">
        <v>109.24769999999999</v>
      </c>
      <c r="H52">
        <v>47</v>
      </c>
      <c r="I52">
        <v>107.604</v>
      </c>
    </row>
    <row r="53" spans="1:9" x14ac:dyDescent="0.3">
      <c r="A53">
        <v>48</v>
      </c>
      <c r="B53">
        <v>75.9589</v>
      </c>
      <c r="C53">
        <v>48</v>
      </c>
      <c r="D53">
        <v>79.165099999999995</v>
      </c>
      <c r="F53">
        <v>48</v>
      </c>
      <c r="G53">
        <v>107.7286</v>
      </c>
      <c r="H53" s="4">
        <v>48</v>
      </c>
      <c r="I53" s="4">
        <v>107.57429999999999</v>
      </c>
    </row>
    <row r="54" spans="1:9" x14ac:dyDescent="0.3">
      <c r="A54">
        <v>49</v>
      </c>
      <c r="B54">
        <v>78.820300000000003</v>
      </c>
      <c r="C54">
        <v>49</v>
      </c>
      <c r="D54">
        <v>80.399100000000004</v>
      </c>
      <c r="F54">
        <v>49</v>
      </c>
      <c r="G54">
        <v>107.1956</v>
      </c>
      <c r="H54">
        <v>49</v>
      </c>
      <c r="I54">
        <v>107.5446</v>
      </c>
    </row>
    <row r="55" spans="1:9" x14ac:dyDescent="0.3">
      <c r="A55">
        <v>50</v>
      </c>
      <c r="B55">
        <v>80.8506</v>
      </c>
      <c r="C55">
        <v>50</v>
      </c>
      <c r="D55">
        <v>83.214399999999998</v>
      </c>
      <c r="F55">
        <v>50</v>
      </c>
      <c r="G55">
        <v>107.80670000000001</v>
      </c>
      <c r="H55">
        <v>50</v>
      </c>
      <c r="I55">
        <v>108</v>
      </c>
    </row>
    <row r="56" spans="1:9" x14ac:dyDescent="0.3">
      <c r="A56">
        <v>51</v>
      </c>
      <c r="B56">
        <v>79.156499999999994</v>
      </c>
      <c r="C56">
        <v>51</v>
      </c>
      <c r="D56">
        <v>86.245800000000003</v>
      </c>
      <c r="F56">
        <v>51</v>
      </c>
      <c r="G56">
        <v>108.25709999999999</v>
      </c>
      <c r="H56">
        <v>51</v>
      </c>
      <c r="I56">
        <v>109</v>
      </c>
    </row>
    <row r="57" spans="1:9" x14ac:dyDescent="0.3">
      <c r="A57">
        <v>52</v>
      </c>
      <c r="B57">
        <v>80.886499999999998</v>
      </c>
      <c r="C57">
        <v>52</v>
      </c>
      <c r="D57">
        <v>90.224500000000006</v>
      </c>
      <c r="F57">
        <v>52</v>
      </c>
      <c r="G57">
        <v>108.4952</v>
      </c>
      <c r="H57">
        <v>52</v>
      </c>
      <c r="I57">
        <v>108.7723</v>
      </c>
    </row>
    <row r="58" spans="1:9" x14ac:dyDescent="0.3">
      <c r="A58">
        <v>53</v>
      </c>
      <c r="B58">
        <v>82.874499999999998</v>
      </c>
      <c r="C58">
        <v>53</v>
      </c>
      <c r="D58">
        <v>92.892600000000002</v>
      </c>
      <c r="F58" s="4">
        <v>53</v>
      </c>
      <c r="G58" s="4">
        <v>107.74290000000001</v>
      </c>
      <c r="H58">
        <v>53</v>
      </c>
      <c r="I58">
        <v>108.57429999999999</v>
      </c>
    </row>
    <row r="59" spans="1:9" x14ac:dyDescent="0.3">
      <c r="A59">
        <v>54</v>
      </c>
      <c r="B59">
        <v>84.865799999999993</v>
      </c>
      <c r="C59">
        <v>54</v>
      </c>
      <c r="D59">
        <v>95.371700000000004</v>
      </c>
      <c r="F59">
        <v>54</v>
      </c>
      <c r="G59">
        <v>109.51430000000001</v>
      </c>
      <c r="H59">
        <v>54</v>
      </c>
      <c r="I59">
        <v>108.4059</v>
      </c>
    </row>
    <row r="60" spans="1:9" x14ac:dyDescent="0.3">
      <c r="A60">
        <v>55</v>
      </c>
      <c r="B60">
        <v>86.923500000000004</v>
      </c>
      <c r="C60">
        <v>55</v>
      </c>
      <c r="D60">
        <v>97.262200000000007</v>
      </c>
      <c r="F60">
        <v>55</v>
      </c>
      <c r="G60">
        <v>108.2381</v>
      </c>
      <c r="H60">
        <v>55</v>
      </c>
      <c r="I60">
        <v>108.6337</v>
      </c>
    </row>
    <row r="61" spans="1:9" x14ac:dyDescent="0.3">
      <c r="A61">
        <v>56</v>
      </c>
      <c r="B61">
        <v>90.7727</v>
      </c>
      <c r="C61">
        <v>56</v>
      </c>
      <c r="D61">
        <v>100.8997</v>
      </c>
      <c r="F61">
        <v>56</v>
      </c>
      <c r="G61">
        <v>109</v>
      </c>
      <c r="H61">
        <v>56</v>
      </c>
      <c r="I61">
        <v>109</v>
      </c>
    </row>
    <row r="62" spans="1:9" x14ac:dyDescent="0.3">
      <c r="A62">
        <v>57</v>
      </c>
      <c r="B62">
        <v>93.766199999999998</v>
      </c>
      <c r="C62">
        <v>57</v>
      </c>
      <c r="D62">
        <v>105.16670000000001</v>
      </c>
      <c r="F62">
        <v>57</v>
      </c>
      <c r="G62">
        <v>109.2286</v>
      </c>
      <c r="H62">
        <v>57</v>
      </c>
      <c r="I62">
        <v>109</v>
      </c>
    </row>
    <row r="63" spans="1:9" x14ac:dyDescent="0.3">
      <c r="A63">
        <v>58</v>
      </c>
      <c r="B63">
        <v>97.662300000000002</v>
      </c>
      <c r="C63">
        <v>58</v>
      </c>
      <c r="D63">
        <v>108.3509</v>
      </c>
      <c r="F63">
        <v>58</v>
      </c>
      <c r="G63">
        <v>109.60250000000001</v>
      </c>
      <c r="H63">
        <v>58</v>
      </c>
      <c r="I63">
        <v>109</v>
      </c>
    </row>
    <row r="64" spans="1:9" x14ac:dyDescent="0.3">
      <c r="A64">
        <v>59</v>
      </c>
      <c r="B64">
        <v>104.3788</v>
      </c>
      <c r="C64">
        <v>59</v>
      </c>
      <c r="D64">
        <v>111.94110000000001</v>
      </c>
      <c r="F64">
        <v>59</v>
      </c>
      <c r="G64">
        <v>108.3421</v>
      </c>
      <c r="H64">
        <v>59</v>
      </c>
      <c r="I64">
        <v>108.1238</v>
      </c>
    </row>
    <row r="65" spans="1:9" x14ac:dyDescent="0.3">
      <c r="A65">
        <v>60</v>
      </c>
      <c r="B65">
        <v>109.619</v>
      </c>
      <c r="C65">
        <v>60</v>
      </c>
      <c r="D65">
        <v>117.7315</v>
      </c>
      <c r="F65">
        <v>60</v>
      </c>
      <c r="G65">
        <v>108.83159999999999</v>
      </c>
      <c r="H65">
        <v>60</v>
      </c>
      <c r="I65">
        <v>109</v>
      </c>
    </row>
    <row r="66" spans="1:9" x14ac:dyDescent="0.3">
      <c r="A66">
        <v>61</v>
      </c>
      <c r="B66">
        <v>111</v>
      </c>
      <c r="C66">
        <v>61</v>
      </c>
      <c r="D66">
        <v>123.65309999999999</v>
      </c>
      <c r="F66">
        <v>61</v>
      </c>
      <c r="G66">
        <v>109</v>
      </c>
      <c r="H66">
        <v>61</v>
      </c>
      <c r="I66">
        <v>111</v>
      </c>
    </row>
    <row r="67" spans="1:9" x14ac:dyDescent="0.3">
      <c r="A67">
        <v>62</v>
      </c>
      <c r="B67">
        <v>113.7052</v>
      </c>
      <c r="C67">
        <v>62</v>
      </c>
      <c r="D67">
        <v>128.399</v>
      </c>
      <c r="F67">
        <v>62</v>
      </c>
      <c r="G67">
        <v>109</v>
      </c>
      <c r="H67">
        <v>62</v>
      </c>
      <c r="I67">
        <v>111.9208</v>
      </c>
    </row>
    <row r="68" spans="1:9" x14ac:dyDescent="0.3">
      <c r="A68">
        <v>63</v>
      </c>
      <c r="B68">
        <v>118.4697</v>
      </c>
      <c r="C68">
        <v>63</v>
      </c>
      <c r="D68">
        <v>132.4956</v>
      </c>
      <c r="F68">
        <v>63</v>
      </c>
      <c r="G68">
        <v>109.16</v>
      </c>
      <c r="H68">
        <v>63</v>
      </c>
      <c r="I68">
        <v>113</v>
      </c>
    </row>
    <row r="69" spans="1:9" x14ac:dyDescent="0.3">
      <c r="A69">
        <v>64</v>
      </c>
      <c r="B69">
        <v>125.2273</v>
      </c>
      <c r="C69">
        <v>64</v>
      </c>
      <c r="D69">
        <v>135.79349999999999</v>
      </c>
      <c r="F69">
        <v>64</v>
      </c>
      <c r="G69">
        <v>109.8429</v>
      </c>
      <c r="H69">
        <v>64</v>
      </c>
      <c r="I69">
        <v>112</v>
      </c>
    </row>
    <row r="70" spans="1:9" x14ac:dyDescent="0.3">
      <c r="A70">
        <v>65</v>
      </c>
      <c r="B70">
        <v>131.3117</v>
      </c>
      <c r="C70">
        <v>65</v>
      </c>
      <c r="D70">
        <v>139.95609999999999</v>
      </c>
      <c r="F70">
        <v>65</v>
      </c>
      <c r="G70">
        <v>109.69159999999999</v>
      </c>
      <c r="H70">
        <v>65</v>
      </c>
      <c r="I70">
        <v>111</v>
      </c>
    </row>
    <row r="71" spans="1:9" x14ac:dyDescent="0.3">
      <c r="A71">
        <v>66</v>
      </c>
      <c r="B71">
        <v>134.8526</v>
      </c>
      <c r="C71">
        <v>66</v>
      </c>
      <c r="D71">
        <v>142.8098</v>
      </c>
      <c r="F71">
        <v>66</v>
      </c>
      <c r="G71">
        <v>108.55710000000001</v>
      </c>
      <c r="H71">
        <v>66</v>
      </c>
      <c r="I71">
        <v>113</v>
      </c>
    </row>
    <row r="72" spans="1:9" x14ac:dyDescent="0.3">
      <c r="A72">
        <v>67</v>
      </c>
      <c r="B72">
        <v>137.10820000000001</v>
      </c>
      <c r="C72" s="7">
        <v>67</v>
      </c>
      <c r="D72" s="7">
        <v>143.29259999999999</v>
      </c>
      <c r="F72">
        <v>67</v>
      </c>
      <c r="G72">
        <v>109.872</v>
      </c>
      <c r="H72">
        <v>67</v>
      </c>
      <c r="I72">
        <v>115</v>
      </c>
    </row>
    <row r="73" spans="1:9" x14ac:dyDescent="0.3">
      <c r="A73">
        <v>68</v>
      </c>
      <c r="B73">
        <v>142.50550000000001</v>
      </c>
      <c r="C73">
        <v>68</v>
      </c>
      <c r="D73">
        <v>147.19300000000001</v>
      </c>
      <c r="F73">
        <v>68</v>
      </c>
      <c r="G73">
        <v>112.32129999999999</v>
      </c>
      <c r="H73">
        <v>68</v>
      </c>
      <c r="I73">
        <v>116</v>
      </c>
    </row>
    <row r="74" spans="1:9" x14ac:dyDescent="0.3">
      <c r="A74">
        <v>69</v>
      </c>
      <c r="B74">
        <v>145</v>
      </c>
      <c r="C74">
        <v>69</v>
      </c>
      <c r="D74">
        <v>145.1842</v>
      </c>
      <c r="F74">
        <v>69</v>
      </c>
      <c r="G74">
        <v>113.142</v>
      </c>
      <c r="H74">
        <v>69</v>
      </c>
      <c r="I74">
        <v>115</v>
      </c>
    </row>
    <row r="75" spans="1:9" x14ac:dyDescent="0.3">
      <c r="A75">
        <v>70</v>
      </c>
      <c r="B75">
        <v>148.72730000000001</v>
      </c>
      <c r="C75">
        <v>70</v>
      </c>
      <c r="D75">
        <v>150.19300000000001</v>
      </c>
      <c r="F75">
        <v>70</v>
      </c>
      <c r="G75">
        <v>114.16670000000001</v>
      </c>
      <c r="H75">
        <v>70</v>
      </c>
      <c r="I75">
        <v>116</v>
      </c>
    </row>
    <row r="76" spans="1:9" x14ac:dyDescent="0.3">
      <c r="A76" s="1">
        <v>71</v>
      </c>
      <c r="B76" s="1">
        <v>154.31630000000001</v>
      </c>
      <c r="C76" s="1">
        <v>71</v>
      </c>
      <c r="D76" s="1">
        <v>150.81139999999999</v>
      </c>
      <c r="F76">
        <v>71</v>
      </c>
      <c r="G76">
        <v>115.8643</v>
      </c>
      <c r="H76">
        <v>71</v>
      </c>
      <c r="I76">
        <v>118.0545</v>
      </c>
    </row>
    <row r="77" spans="1:9" x14ac:dyDescent="0.3">
      <c r="A77">
        <v>72</v>
      </c>
      <c r="B77">
        <v>154.0421</v>
      </c>
      <c r="C77">
        <v>72</v>
      </c>
      <c r="D77">
        <v>150.1842</v>
      </c>
      <c r="F77">
        <v>72</v>
      </c>
      <c r="G77">
        <v>116.28959999999999</v>
      </c>
      <c r="H77">
        <v>72</v>
      </c>
      <c r="I77">
        <v>118.0693</v>
      </c>
    </row>
    <row r="78" spans="1:9" x14ac:dyDescent="0.3">
      <c r="A78">
        <v>73</v>
      </c>
      <c r="B78">
        <v>147.76910000000001</v>
      </c>
      <c r="C78">
        <v>73</v>
      </c>
      <c r="D78">
        <v>150.4605</v>
      </c>
      <c r="F78">
        <v>73</v>
      </c>
      <c r="G78">
        <v>117.8708</v>
      </c>
      <c r="H78">
        <v>73</v>
      </c>
      <c r="I78">
        <v>120.9158</v>
      </c>
    </row>
    <row r="79" spans="1:9" x14ac:dyDescent="0.3">
      <c r="A79">
        <v>74</v>
      </c>
      <c r="B79">
        <v>147.66900000000001</v>
      </c>
      <c r="C79">
        <v>74</v>
      </c>
      <c r="D79">
        <v>147.29820000000001</v>
      </c>
      <c r="F79">
        <v>74</v>
      </c>
      <c r="G79">
        <v>117.8742</v>
      </c>
      <c r="H79">
        <v>74</v>
      </c>
      <c r="I79">
        <v>124</v>
      </c>
    </row>
    <row r="80" spans="1:9" x14ac:dyDescent="0.3">
      <c r="A80">
        <v>75</v>
      </c>
      <c r="B80">
        <v>147.97499999999999</v>
      </c>
      <c r="C80">
        <v>75</v>
      </c>
      <c r="D80">
        <v>143.976</v>
      </c>
      <c r="F80">
        <v>75</v>
      </c>
      <c r="G80">
        <v>117.2653</v>
      </c>
      <c r="H80">
        <v>75</v>
      </c>
      <c r="I80">
        <v>126.1139</v>
      </c>
    </row>
    <row r="81" spans="1:9" x14ac:dyDescent="0.3">
      <c r="A81">
        <v>76</v>
      </c>
      <c r="B81">
        <v>146.32470000000001</v>
      </c>
      <c r="C81">
        <v>76</v>
      </c>
      <c r="D81">
        <v>143.86109999999999</v>
      </c>
      <c r="F81">
        <v>76</v>
      </c>
      <c r="G81">
        <v>118.1572</v>
      </c>
      <c r="H81">
        <v>76</v>
      </c>
      <c r="I81">
        <v>128</v>
      </c>
    </row>
    <row r="82" spans="1:9" x14ac:dyDescent="0.3">
      <c r="A82">
        <v>77</v>
      </c>
      <c r="B82">
        <v>146</v>
      </c>
      <c r="F82">
        <v>77</v>
      </c>
      <c r="G82">
        <v>119.1511</v>
      </c>
      <c r="H82">
        <v>77</v>
      </c>
      <c r="I82">
        <v>127</v>
      </c>
    </row>
    <row r="83" spans="1:9" x14ac:dyDescent="0.3">
      <c r="F83">
        <v>78</v>
      </c>
      <c r="G83">
        <v>119.4978</v>
      </c>
      <c r="H83">
        <v>78</v>
      </c>
      <c r="I83">
        <v>128</v>
      </c>
    </row>
    <row r="84" spans="1:9" x14ac:dyDescent="0.3">
      <c r="F84">
        <v>79</v>
      </c>
      <c r="G84">
        <v>121.4492</v>
      </c>
      <c r="H84">
        <v>79</v>
      </c>
      <c r="I84">
        <v>128.65350000000001</v>
      </c>
    </row>
    <row r="85" spans="1:9" x14ac:dyDescent="0.3">
      <c r="F85">
        <v>80</v>
      </c>
      <c r="G85">
        <v>123.6854</v>
      </c>
      <c r="H85">
        <v>80</v>
      </c>
      <c r="I85">
        <v>130.81190000000001</v>
      </c>
    </row>
    <row r="86" spans="1:9" x14ac:dyDescent="0.3">
      <c r="F86">
        <v>81</v>
      </c>
      <c r="G86">
        <v>123.44410000000001</v>
      </c>
      <c r="H86">
        <v>81</v>
      </c>
      <c r="I86">
        <v>130.797</v>
      </c>
    </row>
    <row r="87" spans="1:9" x14ac:dyDescent="0.3">
      <c r="F87">
        <v>82</v>
      </c>
      <c r="G87">
        <v>126.6212</v>
      </c>
      <c r="H87">
        <v>82</v>
      </c>
      <c r="I87">
        <v>131.78219999999999</v>
      </c>
    </row>
    <row r="88" spans="1:9" x14ac:dyDescent="0.3">
      <c r="F88">
        <v>83</v>
      </c>
      <c r="G88">
        <v>131.6857</v>
      </c>
      <c r="H88">
        <v>83</v>
      </c>
      <c r="I88">
        <v>132.76730000000001</v>
      </c>
    </row>
    <row r="89" spans="1:9" x14ac:dyDescent="0.3">
      <c r="F89">
        <v>84</v>
      </c>
      <c r="G89">
        <v>131.82</v>
      </c>
      <c r="H89">
        <v>84</v>
      </c>
      <c r="I89">
        <v>134.7525</v>
      </c>
    </row>
    <row r="90" spans="1:9" x14ac:dyDescent="0.3">
      <c r="F90">
        <v>85</v>
      </c>
      <c r="G90">
        <v>133</v>
      </c>
      <c r="H90">
        <v>85</v>
      </c>
      <c r="I90">
        <v>134.26240000000001</v>
      </c>
    </row>
    <row r="91" spans="1:9" x14ac:dyDescent="0.3">
      <c r="F91">
        <v>86</v>
      </c>
      <c r="G91">
        <v>133.99180000000001</v>
      </c>
      <c r="H91">
        <v>86</v>
      </c>
      <c r="I91">
        <v>136.27719999999999</v>
      </c>
    </row>
    <row r="92" spans="1:9" x14ac:dyDescent="0.3">
      <c r="F92">
        <v>87</v>
      </c>
      <c r="G92">
        <v>135.00729999999999</v>
      </c>
      <c r="H92">
        <v>87</v>
      </c>
      <c r="I92">
        <v>138.2921</v>
      </c>
    </row>
    <row r="93" spans="1:9" x14ac:dyDescent="0.3">
      <c r="F93">
        <v>88</v>
      </c>
      <c r="G93">
        <v>137.01310000000001</v>
      </c>
      <c r="H93">
        <v>88</v>
      </c>
      <c r="I93">
        <v>142.30690000000001</v>
      </c>
    </row>
    <row r="94" spans="1:9" x14ac:dyDescent="0.3">
      <c r="F94">
        <v>89</v>
      </c>
      <c r="G94">
        <v>138.29900000000001</v>
      </c>
      <c r="H94">
        <v>89</v>
      </c>
      <c r="I94">
        <v>142</v>
      </c>
    </row>
    <row r="95" spans="1:9" x14ac:dyDescent="0.3">
      <c r="F95">
        <v>90</v>
      </c>
      <c r="G95">
        <v>141.1429</v>
      </c>
      <c r="H95">
        <v>90</v>
      </c>
      <c r="I95">
        <v>142.3366</v>
      </c>
    </row>
    <row r="96" spans="1:9" x14ac:dyDescent="0.3">
      <c r="F96">
        <v>91</v>
      </c>
      <c r="G96">
        <v>143.12450000000001</v>
      </c>
      <c r="H96">
        <v>91</v>
      </c>
      <c r="I96">
        <v>144</v>
      </c>
    </row>
    <row r="97" spans="6:9" x14ac:dyDescent="0.3">
      <c r="F97">
        <v>92</v>
      </c>
      <c r="G97">
        <v>144.8219</v>
      </c>
      <c r="H97">
        <v>92</v>
      </c>
      <c r="I97">
        <v>145</v>
      </c>
    </row>
    <row r="98" spans="6:9" x14ac:dyDescent="0.3">
      <c r="F98">
        <v>93</v>
      </c>
      <c r="G98">
        <v>144.05709999999999</v>
      </c>
      <c r="H98">
        <v>93</v>
      </c>
      <c r="I98">
        <v>146.38120000000001</v>
      </c>
    </row>
    <row r="99" spans="6:9" x14ac:dyDescent="0.3">
      <c r="F99">
        <v>94</v>
      </c>
      <c r="G99">
        <v>145</v>
      </c>
      <c r="H99" s="1">
        <v>94</v>
      </c>
      <c r="I99" s="1">
        <v>147</v>
      </c>
    </row>
    <row r="100" spans="6:9" x14ac:dyDescent="0.3">
      <c r="F100">
        <v>95</v>
      </c>
      <c r="G100">
        <v>145.0975</v>
      </c>
      <c r="H100">
        <v>95</v>
      </c>
      <c r="I100">
        <v>146</v>
      </c>
    </row>
    <row r="101" spans="6:9" x14ac:dyDescent="0.3">
      <c r="F101">
        <v>96</v>
      </c>
      <c r="G101">
        <v>147.08199999999999</v>
      </c>
      <c r="H101">
        <v>96</v>
      </c>
      <c r="I101">
        <v>143</v>
      </c>
    </row>
    <row r="102" spans="6:9" x14ac:dyDescent="0.3">
      <c r="F102">
        <v>97</v>
      </c>
      <c r="G102">
        <v>147.96190000000001</v>
      </c>
      <c r="H102">
        <v>97</v>
      </c>
      <c r="I102">
        <v>142</v>
      </c>
    </row>
    <row r="103" spans="6:9" x14ac:dyDescent="0.3">
      <c r="F103">
        <v>98</v>
      </c>
      <c r="G103">
        <v>148.03110000000001</v>
      </c>
      <c r="H103">
        <v>98</v>
      </c>
      <c r="I103">
        <v>143.5446</v>
      </c>
    </row>
    <row r="104" spans="6:9" x14ac:dyDescent="0.3">
      <c r="F104" s="1">
        <v>99</v>
      </c>
      <c r="G104" s="1">
        <v>149.7747</v>
      </c>
      <c r="H104">
        <v>99</v>
      </c>
      <c r="I104">
        <v>143.47030000000001</v>
      </c>
    </row>
    <row r="105" spans="6:9" x14ac:dyDescent="0.3">
      <c r="F105">
        <v>100</v>
      </c>
      <c r="G105">
        <v>144.97620000000001</v>
      </c>
      <c r="H105">
        <v>100</v>
      </c>
      <c r="I105">
        <v>142</v>
      </c>
    </row>
    <row r="106" spans="6:9" x14ac:dyDescent="0.3">
      <c r="F106">
        <v>101</v>
      </c>
      <c r="G106">
        <v>142.98099999999999</v>
      </c>
      <c r="H106">
        <v>101</v>
      </c>
      <c r="I106">
        <v>141</v>
      </c>
    </row>
    <row r="107" spans="6:9" x14ac:dyDescent="0.3">
      <c r="F107">
        <v>102</v>
      </c>
      <c r="G107">
        <v>141</v>
      </c>
    </row>
    <row r="108" spans="6:9" x14ac:dyDescent="0.3">
      <c r="F108">
        <v>103</v>
      </c>
      <c r="G108">
        <v>140.01900000000001</v>
      </c>
    </row>
    <row r="109" spans="6:9" x14ac:dyDescent="0.3">
      <c r="F109">
        <v>104</v>
      </c>
      <c r="G109">
        <v>140.9905</v>
      </c>
    </row>
    <row r="110" spans="6:9" x14ac:dyDescent="0.3">
      <c r="F110">
        <v>105</v>
      </c>
      <c r="G110">
        <v>139</v>
      </c>
    </row>
    <row r="111" spans="6:9" x14ac:dyDescent="0.3">
      <c r="F111">
        <v>106</v>
      </c>
      <c r="G111">
        <v>132.76920000000001</v>
      </c>
    </row>
    <row r="112" spans="6:9" x14ac:dyDescent="0.3">
      <c r="F112">
        <v>107</v>
      </c>
      <c r="G112">
        <v>134.27879999999999</v>
      </c>
    </row>
    <row r="113" spans="6:7" x14ac:dyDescent="0.3">
      <c r="F113">
        <v>108</v>
      </c>
      <c r="G113">
        <v>136.2885</v>
      </c>
    </row>
    <row r="114" spans="6:7" x14ac:dyDescent="0.3">
      <c r="F114">
        <v>109</v>
      </c>
      <c r="G114">
        <v>137.70189999999999</v>
      </c>
    </row>
    <row r="115" spans="6:7" x14ac:dyDescent="0.3">
      <c r="F115">
        <v>110</v>
      </c>
      <c r="G115">
        <v>138.88460000000001</v>
      </c>
    </row>
    <row r="116" spans="6:7" x14ac:dyDescent="0.3">
      <c r="F116">
        <v>111</v>
      </c>
      <c r="G116">
        <v>139.68270000000001</v>
      </c>
    </row>
    <row r="117" spans="6:7" x14ac:dyDescent="0.3">
      <c r="F117">
        <v>112</v>
      </c>
      <c r="G117">
        <v>140.17310000000001</v>
      </c>
    </row>
    <row r="118" spans="6:7" x14ac:dyDescent="0.3">
      <c r="F118">
        <v>113</v>
      </c>
      <c r="G118">
        <v>140.5</v>
      </c>
    </row>
    <row r="119" spans="6:7" x14ac:dyDescent="0.3">
      <c r="F119">
        <v>114</v>
      </c>
      <c r="G119">
        <v>141.15379999999999</v>
      </c>
    </row>
    <row r="120" spans="6:7" x14ac:dyDescent="0.3">
      <c r="F120">
        <v>115</v>
      </c>
      <c r="G120">
        <v>140.44229999999999</v>
      </c>
    </row>
    <row r="121" spans="6:7" x14ac:dyDescent="0.3">
      <c r="F121">
        <v>116</v>
      </c>
      <c r="G121">
        <v>139.05770000000001</v>
      </c>
    </row>
    <row r="122" spans="6:7" x14ac:dyDescent="0.3">
      <c r="F122">
        <v>117</v>
      </c>
      <c r="G122">
        <v>142</v>
      </c>
    </row>
    <row r="123" spans="6:7" x14ac:dyDescent="0.3">
      <c r="F123">
        <v>118</v>
      </c>
      <c r="G123">
        <v>145.61539999999999</v>
      </c>
    </row>
    <row r="124" spans="6:7" x14ac:dyDescent="0.3">
      <c r="F124">
        <v>119</v>
      </c>
      <c r="G124">
        <v>146.89420000000001</v>
      </c>
    </row>
    <row r="125" spans="6:7" x14ac:dyDescent="0.3">
      <c r="F125">
        <v>120</v>
      </c>
      <c r="G125">
        <v>148.40379999999999</v>
      </c>
    </row>
    <row r="126" spans="6:7" x14ac:dyDescent="0.3">
      <c r="F126">
        <v>121</v>
      </c>
      <c r="G126">
        <v>148.5865</v>
      </c>
    </row>
    <row r="127" spans="6:7" x14ac:dyDescent="0.3">
      <c r="F127">
        <v>122</v>
      </c>
      <c r="G127">
        <v>148.65379999999999</v>
      </c>
    </row>
    <row r="128" spans="6:7" x14ac:dyDescent="0.3">
      <c r="F128">
        <v>123</v>
      </c>
      <c r="G128">
        <v>149</v>
      </c>
    </row>
    <row r="129" spans="6:7" x14ac:dyDescent="0.3">
      <c r="F129">
        <v>124</v>
      </c>
      <c r="G129">
        <v>149.26920000000001</v>
      </c>
    </row>
    <row r="130" spans="6:7" x14ac:dyDescent="0.3">
      <c r="F130">
        <v>125</v>
      </c>
      <c r="G130">
        <v>146.40379999999999</v>
      </c>
    </row>
    <row r="131" spans="6:7" x14ac:dyDescent="0.3">
      <c r="F131">
        <v>126</v>
      </c>
      <c r="G131">
        <v>142.5385</v>
      </c>
    </row>
    <row r="132" spans="6:7" x14ac:dyDescent="0.3">
      <c r="F132">
        <v>127</v>
      </c>
      <c r="G132">
        <v>142</v>
      </c>
    </row>
    <row r="133" spans="6:7" x14ac:dyDescent="0.3">
      <c r="F133">
        <v>128</v>
      </c>
      <c r="G133">
        <v>142</v>
      </c>
    </row>
    <row r="134" spans="6:7" x14ac:dyDescent="0.3">
      <c r="F134">
        <v>129</v>
      </c>
      <c r="G134">
        <v>141.50960000000001</v>
      </c>
    </row>
    <row r="135" spans="6:7" x14ac:dyDescent="0.3">
      <c r="F135">
        <v>130</v>
      </c>
      <c r="G135">
        <v>140</v>
      </c>
    </row>
  </sheetData>
  <mergeCells count="24">
    <mergeCell ref="K19:L19"/>
    <mergeCell ref="K15:L15"/>
    <mergeCell ref="K20:L20"/>
    <mergeCell ref="N15:O15"/>
    <mergeCell ref="Q15:R15"/>
    <mergeCell ref="N20:O20"/>
    <mergeCell ref="Q20:R20"/>
    <mergeCell ref="Q10:R10"/>
    <mergeCell ref="K13:L13"/>
    <mergeCell ref="N13:O13"/>
    <mergeCell ref="Q13:R13"/>
    <mergeCell ref="K18:L18"/>
    <mergeCell ref="N18:O18"/>
    <mergeCell ref="Q18:R18"/>
    <mergeCell ref="K14:L14"/>
    <mergeCell ref="K12:L12"/>
    <mergeCell ref="K17:L17"/>
    <mergeCell ref="N10:O10"/>
    <mergeCell ref="A3:B3"/>
    <mergeCell ref="A1:D1"/>
    <mergeCell ref="C3:D3"/>
    <mergeCell ref="F3:G3"/>
    <mergeCell ref="H3:I3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CC9B-44CB-498E-8680-44CE49C67E5D}">
  <dimension ref="A1:R166"/>
  <sheetViews>
    <sheetView zoomScale="85" zoomScaleNormal="85" workbookViewId="0">
      <selection activeCell="Q20" sqref="Q20:R20"/>
    </sheetView>
  </sheetViews>
  <sheetFormatPr defaultRowHeight="14.4" x14ac:dyDescent="0.3"/>
  <cols>
    <col min="1" max="1" width="16.5546875" customWidth="1"/>
    <col min="2" max="2" width="13" customWidth="1"/>
    <col min="3" max="3" width="17.44140625" customWidth="1"/>
    <col min="4" max="4" width="13" customWidth="1"/>
    <col min="6" max="6" width="17.33203125" customWidth="1"/>
    <col min="7" max="7" width="13.33203125" customWidth="1"/>
    <col min="8" max="8" width="17.44140625" customWidth="1"/>
    <col min="9" max="9" width="12" customWidth="1"/>
    <col min="11" max="11" width="15.5546875" customWidth="1"/>
    <col min="12" max="12" width="17.44140625" customWidth="1"/>
    <col min="13" max="13" width="5.109375" customWidth="1"/>
    <col min="16" max="16" width="5" customWidth="1"/>
  </cols>
  <sheetData>
    <row r="1" spans="1:18" x14ac:dyDescent="0.3">
      <c r="A1" s="22" t="s">
        <v>26</v>
      </c>
      <c r="B1" s="22"/>
      <c r="C1" s="22"/>
      <c r="D1" s="22"/>
      <c r="F1" s="22" t="s">
        <v>27</v>
      </c>
      <c r="G1" s="22"/>
      <c r="H1" s="22"/>
      <c r="I1" s="22"/>
    </row>
    <row r="3" spans="1:18" x14ac:dyDescent="0.3">
      <c r="A3" s="17" t="s">
        <v>15</v>
      </c>
      <c r="B3" s="17"/>
      <c r="C3" s="17" t="s">
        <v>16</v>
      </c>
      <c r="D3" s="17"/>
      <c r="F3" s="17" t="s">
        <v>15</v>
      </c>
      <c r="G3" s="17"/>
      <c r="H3" s="17" t="s">
        <v>16</v>
      </c>
      <c r="I3" s="17"/>
    </row>
    <row r="4" spans="1:18" x14ac:dyDescent="0.3">
      <c r="A4" t="s">
        <v>0</v>
      </c>
      <c r="B4" t="s">
        <v>1</v>
      </c>
      <c r="C4" t="s">
        <v>0</v>
      </c>
      <c r="D4" t="s">
        <v>1</v>
      </c>
      <c r="F4" t="s">
        <v>0</v>
      </c>
      <c r="G4" t="s">
        <v>1</v>
      </c>
      <c r="H4" t="s">
        <v>0</v>
      </c>
      <c r="I4" t="s">
        <v>1</v>
      </c>
    </row>
    <row r="5" spans="1:18" x14ac:dyDescent="0.3">
      <c r="A5">
        <v>0</v>
      </c>
      <c r="B5">
        <v>125</v>
      </c>
      <c r="C5">
        <v>0</v>
      </c>
      <c r="D5">
        <v>128.13890000000001</v>
      </c>
      <c r="F5">
        <v>0</v>
      </c>
      <c r="G5">
        <v>128</v>
      </c>
      <c r="H5">
        <v>0</v>
      </c>
      <c r="I5">
        <v>131</v>
      </c>
    </row>
    <row r="6" spans="1:18" x14ac:dyDescent="0.3">
      <c r="A6">
        <v>1</v>
      </c>
      <c r="B6">
        <v>124.5913</v>
      </c>
      <c r="C6">
        <v>1</v>
      </c>
      <c r="D6">
        <v>129.24449999999999</v>
      </c>
      <c r="F6">
        <v>1</v>
      </c>
      <c r="G6">
        <v>125</v>
      </c>
      <c r="H6">
        <v>1</v>
      </c>
      <c r="I6">
        <v>127</v>
      </c>
      <c r="K6" s="2"/>
      <c r="L6" t="s">
        <v>14</v>
      </c>
    </row>
    <row r="7" spans="1:18" x14ac:dyDescent="0.3">
      <c r="A7">
        <v>2</v>
      </c>
      <c r="B7">
        <v>125.3526</v>
      </c>
      <c r="C7" s="1">
        <v>2</v>
      </c>
      <c r="D7" s="1">
        <v>133.65549999999999</v>
      </c>
      <c r="F7">
        <v>2</v>
      </c>
      <c r="G7">
        <v>128.98759999999999</v>
      </c>
      <c r="H7">
        <v>2</v>
      </c>
      <c r="I7">
        <v>134</v>
      </c>
    </row>
    <row r="8" spans="1:18" x14ac:dyDescent="0.3">
      <c r="A8">
        <v>3</v>
      </c>
      <c r="B8">
        <v>125.4808</v>
      </c>
      <c r="C8">
        <v>3</v>
      </c>
      <c r="D8">
        <v>123.97020000000001</v>
      </c>
      <c r="F8">
        <v>3</v>
      </c>
      <c r="G8">
        <v>125</v>
      </c>
      <c r="H8">
        <v>3</v>
      </c>
      <c r="I8">
        <v>132</v>
      </c>
      <c r="K8" s="3"/>
      <c r="L8" t="s">
        <v>13</v>
      </c>
    </row>
    <row r="9" spans="1:18" x14ac:dyDescent="0.3">
      <c r="A9" s="1">
        <v>4</v>
      </c>
      <c r="B9" s="1">
        <v>131.74359999999999</v>
      </c>
      <c r="C9">
        <v>4</v>
      </c>
      <c r="D9">
        <v>124.1942</v>
      </c>
      <c r="F9">
        <v>4</v>
      </c>
      <c r="G9">
        <v>130</v>
      </c>
      <c r="H9">
        <v>4</v>
      </c>
      <c r="I9">
        <v>133</v>
      </c>
    </row>
    <row r="10" spans="1:18" x14ac:dyDescent="0.3">
      <c r="A10">
        <v>5</v>
      </c>
      <c r="B10">
        <v>128.83330000000001</v>
      </c>
      <c r="C10">
        <v>5</v>
      </c>
      <c r="D10">
        <v>120.41970000000001</v>
      </c>
      <c r="F10">
        <v>5</v>
      </c>
      <c r="G10">
        <v>128</v>
      </c>
      <c r="H10">
        <v>5</v>
      </c>
      <c r="I10">
        <v>128.93510000000001</v>
      </c>
      <c r="N10" s="17" t="s">
        <v>17</v>
      </c>
      <c r="O10" s="17"/>
      <c r="P10" s="5"/>
      <c r="Q10" s="17" t="s">
        <v>18</v>
      </c>
      <c r="R10" s="17"/>
    </row>
    <row r="11" spans="1:18" x14ac:dyDescent="0.3">
      <c r="A11">
        <v>6</v>
      </c>
      <c r="B11">
        <v>126.33329999999999</v>
      </c>
      <c r="C11">
        <v>6</v>
      </c>
      <c r="D11">
        <v>130.97829999999999</v>
      </c>
      <c r="F11">
        <v>6</v>
      </c>
      <c r="G11">
        <v>131</v>
      </c>
      <c r="H11">
        <v>6</v>
      </c>
      <c r="I11">
        <v>131.9221</v>
      </c>
      <c r="N11" s="6" t="s">
        <v>20</v>
      </c>
      <c r="O11" s="6" t="s">
        <v>19</v>
      </c>
      <c r="P11" s="6"/>
      <c r="Q11" s="6" t="s">
        <v>20</v>
      </c>
      <c r="R11" s="6" t="s">
        <v>19</v>
      </c>
    </row>
    <row r="12" spans="1:18" x14ac:dyDescent="0.3">
      <c r="A12">
        <v>7</v>
      </c>
      <c r="B12">
        <v>121.7212</v>
      </c>
      <c r="C12">
        <v>7</v>
      </c>
      <c r="D12">
        <v>123.5823</v>
      </c>
      <c r="F12">
        <v>7</v>
      </c>
      <c r="G12">
        <v>128.08699999999999</v>
      </c>
      <c r="H12">
        <v>7</v>
      </c>
      <c r="I12">
        <v>127.1818</v>
      </c>
      <c r="K12" s="18" t="s">
        <v>26</v>
      </c>
      <c r="L12" s="20"/>
      <c r="M12" s="6"/>
      <c r="N12" s="6">
        <f>AVERAGE(B9,B106)</f>
        <v>136.73559999999998</v>
      </c>
      <c r="O12" s="6">
        <v>65</v>
      </c>
      <c r="P12" s="6"/>
      <c r="Q12" s="6">
        <f>AVERAGE(D7,D102)</f>
        <v>135.67959999999999</v>
      </c>
      <c r="R12" s="6">
        <v>65</v>
      </c>
    </row>
    <row r="13" spans="1:18" x14ac:dyDescent="0.3">
      <c r="A13">
        <v>8</v>
      </c>
      <c r="B13">
        <v>127.86539999999999</v>
      </c>
      <c r="C13">
        <v>8</v>
      </c>
      <c r="D13">
        <v>126.5412</v>
      </c>
      <c r="F13">
        <v>8</v>
      </c>
      <c r="G13">
        <v>132</v>
      </c>
      <c r="H13">
        <v>8</v>
      </c>
      <c r="I13">
        <v>132</v>
      </c>
      <c r="K13" s="19" t="s">
        <v>22</v>
      </c>
      <c r="L13" s="19"/>
      <c r="M13" s="6"/>
      <c r="N13" s="19">
        <f>AVERAGE(N12,O12)</f>
        <v>100.86779999999999</v>
      </c>
      <c r="O13" s="19"/>
      <c r="P13" s="6"/>
      <c r="Q13" s="19">
        <f>AVERAGE(Q12,R12)</f>
        <v>100.3398</v>
      </c>
      <c r="R13" s="19"/>
    </row>
    <row r="14" spans="1:18" x14ac:dyDescent="0.3">
      <c r="A14">
        <v>9</v>
      </c>
      <c r="B14">
        <v>118.83969999999999</v>
      </c>
      <c r="C14">
        <v>9</v>
      </c>
      <c r="D14">
        <v>122.5874</v>
      </c>
      <c r="F14">
        <v>9</v>
      </c>
      <c r="G14">
        <v>125.05589999999999</v>
      </c>
      <c r="H14">
        <v>9</v>
      </c>
      <c r="I14">
        <v>129.88310000000001</v>
      </c>
      <c r="K14" s="19" t="s">
        <v>21</v>
      </c>
      <c r="L14" s="19"/>
      <c r="M14" s="6"/>
      <c r="N14" s="6">
        <v>19</v>
      </c>
      <c r="O14" s="6">
        <v>89</v>
      </c>
      <c r="P14" s="6"/>
      <c r="Q14" s="6">
        <v>17</v>
      </c>
      <c r="R14" s="6">
        <v>87</v>
      </c>
    </row>
    <row r="15" spans="1:18" x14ac:dyDescent="0.3">
      <c r="A15">
        <v>10</v>
      </c>
      <c r="B15">
        <v>125.9551</v>
      </c>
      <c r="C15">
        <v>10</v>
      </c>
      <c r="D15">
        <v>119.73139999999999</v>
      </c>
      <c r="F15">
        <v>10</v>
      </c>
      <c r="G15">
        <v>129</v>
      </c>
      <c r="H15">
        <v>10</v>
      </c>
      <c r="I15">
        <v>131.87010000000001</v>
      </c>
      <c r="K15" s="21" t="s">
        <v>23</v>
      </c>
      <c r="L15" s="21"/>
      <c r="M15" s="5"/>
      <c r="N15" s="21">
        <f>(O14-N14)</f>
        <v>70</v>
      </c>
      <c r="O15" s="21"/>
      <c r="P15" s="5"/>
      <c r="Q15" s="21">
        <f>(R14-Q14)</f>
        <v>70</v>
      </c>
      <c r="R15" s="21"/>
    </row>
    <row r="16" spans="1:18" x14ac:dyDescent="0.3">
      <c r="A16">
        <v>11</v>
      </c>
      <c r="B16">
        <v>120.4696</v>
      </c>
      <c r="C16">
        <v>11</v>
      </c>
      <c r="D16">
        <v>117.9663</v>
      </c>
      <c r="F16">
        <v>11</v>
      </c>
      <c r="G16">
        <v>127.1366</v>
      </c>
      <c r="H16">
        <v>11</v>
      </c>
      <c r="I16">
        <v>128</v>
      </c>
      <c r="N16" s="6"/>
      <c r="O16" s="6"/>
      <c r="P16" s="6"/>
      <c r="Q16" s="6"/>
      <c r="R16" s="6"/>
    </row>
    <row r="17" spans="1:18" x14ac:dyDescent="0.3">
      <c r="A17">
        <v>12</v>
      </c>
      <c r="B17">
        <v>120.85899999999999</v>
      </c>
      <c r="C17">
        <v>12</v>
      </c>
      <c r="D17">
        <v>117.3518</v>
      </c>
      <c r="F17">
        <v>12</v>
      </c>
      <c r="G17">
        <v>131.0745</v>
      </c>
      <c r="H17">
        <v>12</v>
      </c>
      <c r="I17">
        <v>132</v>
      </c>
      <c r="K17" s="18" t="s">
        <v>27</v>
      </c>
      <c r="L17" s="20"/>
      <c r="M17" s="6"/>
      <c r="N17" s="6">
        <f>AVERAGE(G22,G154)</f>
        <v>136.46275</v>
      </c>
      <c r="O17" s="6">
        <v>105</v>
      </c>
      <c r="P17" s="6"/>
      <c r="Q17" s="6">
        <f>AVERAGE(I19,I144)</f>
        <v>135</v>
      </c>
      <c r="R17" s="6">
        <v>106</v>
      </c>
    </row>
    <row r="18" spans="1:18" x14ac:dyDescent="0.3">
      <c r="A18">
        <v>13</v>
      </c>
      <c r="B18">
        <v>116.45829999999999</v>
      </c>
      <c r="C18">
        <v>13</v>
      </c>
      <c r="D18">
        <v>114.6181</v>
      </c>
      <c r="F18">
        <v>13</v>
      </c>
      <c r="G18">
        <v>127.2422</v>
      </c>
      <c r="H18">
        <v>13</v>
      </c>
      <c r="I18">
        <v>130</v>
      </c>
      <c r="K18" s="19" t="s">
        <v>22</v>
      </c>
      <c r="L18" s="19"/>
      <c r="M18" s="6"/>
      <c r="N18" s="19">
        <f>AVERAGE(N17,O17)</f>
        <v>120.731375</v>
      </c>
      <c r="O18" s="19"/>
      <c r="P18" s="6"/>
      <c r="Q18" s="19">
        <f>AVERAGE(Q17,R17)</f>
        <v>120.5</v>
      </c>
      <c r="R18" s="19"/>
    </row>
    <row r="19" spans="1:18" x14ac:dyDescent="0.3">
      <c r="A19">
        <v>14</v>
      </c>
      <c r="B19">
        <v>111.8365</v>
      </c>
      <c r="C19">
        <v>14</v>
      </c>
      <c r="D19">
        <v>108.35550000000001</v>
      </c>
      <c r="F19">
        <v>14</v>
      </c>
      <c r="G19">
        <v>132</v>
      </c>
      <c r="H19" s="1">
        <v>14</v>
      </c>
      <c r="I19" s="1">
        <v>133</v>
      </c>
      <c r="K19" s="19" t="s">
        <v>21</v>
      </c>
      <c r="L19" s="19"/>
      <c r="M19" s="6"/>
      <c r="N19" s="6">
        <v>30</v>
      </c>
      <c r="O19" s="6">
        <v>126</v>
      </c>
      <c r="P19" s="6"/>
      <c r="Q19" s="6">
        <v>30</v>
      </c>
      <c r="R19" s="6">
        <v>120</v>
      </c>
    </row>
    <row r="20" spans="1:18" x14ac:dyDescent="0.3">
      <c r="A20">
        <v>15</v>
      </c>
      <c r="B20">
        <v>110.12179999999999</v>
      </c>
      <c r="C20">
        <v>15</v>
      </c>
      <c r="D20">
        <v>107.36490000000001</v>
      </c>
      <c r="F20">
        <v>15</v>
      </c>
      <c r="G20">
        <v>130.0932</v>
      </c>
      <c r="H20">
        <v>15</v>
      </c>
      <c r="I20">
        <v>131</v>
      </c>
      <c r="K20" s="21" t="s">
        <v>23</v>
      </c>
      <c r="L20" s="21"/>
      <c r="M20" s="5"/>
      <c r="N20" s="21">
        <f>(O19-N19)</f>
        <v>96</v>
      </c>
      <c r="O20" s="21"/>
      <c r="P20" s="5"/>
      <c r="Q20" s="21">
        <f>(R19-Q19)</f>
        <v>90</v>
      </c>
      <c r="R20" s="21"/>
    </row>
    <row r="21" spans="1:18" x14ac:dyDescent="0.3">
      <c r="A21">
        <v>16</v>
      </c>
      <c r="B21">
        <v>108.58329999999999</v>
      </c>
      <c r="C21">
        <v>16</v>
      </c>
      <c r="D21">
        <v>103.1412</v>
      </c>
      <c r="F21">
        <v>16</v>
      </c>
      <c r="G21">
        <v>133.9006</v>
      </c>
      <c r="H21">
        <v>16</v>
      </c>
      <c r="I21">
        <v>129.79220000000001</v>
      </c>
    </row>
    <row r="22" spans="1:18" x14ac:dyDescent="0.3">
      <c r="A22">
        <v>17</v>
      </c>
      <c r="B22">
        <v>103.61539999999999</v>
      </c>
      <c r="C22">
        <v>17</v>
      </c>
      <c r="D22">
        <v>100.5057</v>
      </c>
      <c r="F22" s="1">
        <v>17</v>
      </c>
      <c r="G22" s="1">
        <v>131</v>
      </c>
      <c r="H22">
        <v>17</v>
      </c>
      <c r="I22">
        <v>128</v>
      </c>
    </row>
    <row r="23" spans="1:18" x14ac:dyDescent="0.3">
      <c r="A23">
        <v>18</v>
      </c>
      <c r="B23">
        <v>102.9423</v>
      </c>
      <c r="C23">
        <v>18</v>
      </c>
      <c r="D23">
        <v>96.469300000000004</v>
      </c>
      <c r="F23">
        <v>18</v>
      </c>
      <c r="G23">
        <v>127.2236</v>
      </c>
      <c r="H23">
        <v>18</v>
      </c>
      <c r="I23">
        <v>128.7662</v>
      </c>
    </row>
    <row r="24" spans="1:18" x14ac:dyDescent="0.3">
      <c r="A24">
        <v>19</v>
      </c>
      <c r="B24">
        <v>99.931100000000001</v>
      </c>
      <c r="C24">
        <v>19</v>
      </c>
      <c r="D24">
        <v>95.942400000000006</v>
      </c>
      <c r="F24">
        <v>19</v>
      </c>
      <c r="G24">
        <v>126</v>
      </c>
      <c r="H24">
        <v>19</v>
      </c>
      <c r="I24">
        <v>128</v>
      </c>
    </row>
    <row r="25" spans="1:18" x14ac:dyDescent="0.3">
      <c r="A25">
        <v>20</v>
      </c>
      <c r="B25">
        <v>94.051299999999998</v>
      </c>
      <c r="C25">
        <v>20</v>
      </c>
      <c r="D25">
        <v>92.149299999999997</v>
      </c>
      <c r="F25">
        <v>20</v>
      </c>
      <c r="G25">
        <v>128</v>
      </c>
      <c r="H25">
        <v>20</v>
      </c>
      <c r="I25">
        <v>127.7403</v>
      </c>
    </row>
    <row r="26" spans="1:18" x14ac:dyDescent="0.3">
      <c r="A26">
        <v>21</v>
      </c>
      <c r="B26">
        <v>92.166700000000006</v>
      </c>
      <c r="C26">
        <v>21</v>
      </c>
      <c r="D26">
        <v>90.302599999999998</v>
      </c>
      <c r="F26">
        <v>21</v>
      </c>
      <c r="G26">
        <v>127.13039999999999</v>
      </c>
      <c r="H26">
        <v>21</v>
      </c>
      <c r="I26">
        <v>125</v>
      </c>
    </row>
    <row r="27" spans="1:18" x14ac:dyDescent="0.3">
      <c r="A27">
        <v>22</v>
      </c>
      <c r="B27">
        <v>86.647400000000005</v>
      </c>
      <c r="C27">
        <v>22</v>
      </c>
      <c r="D27">
        <v>86.477099999999993</v>
      </c>
      <c r="F27">
        <v>22</v>
      </c>
      <c r="G27">
        <v>126</v>
      </c>
      <c r="H27">
        <v>22</v>
      </c>
      <c r="I27">
        <v>124.28570000000001</v>
      </c>
    </row>
    <row r="28" spans="1:18" x14ac:dyDescent="0.3">
      <c r="A28">
        <v>23</v>
      </c>
      <c r="B28">
        <v>85.0929</v>
      </c>
      <c r="C28">
        <v>23</v>
      </c>
      <c r="D28">
        <v>85.679400000000001</v>
      </c>
      <c r="F28">
        <v>23</v>
      </c>
      <c r="G28">
        <v>126</v>
      </c>
      <c r="H28">
        <v>23</v>
      </c>
      <c r="I28">
        <v>125</v>
      </c>
    </row>
    <row r="29" spans="1:18" x14ac:dyDescent="0.3">
      <c r="A29">
        <v>24</v>
      </c>
      <c r="B29">
        <v>81.666700000000006</v>
      </c>
      <c r="C29">
        <v>24</v>
      </c>
      <c r="D29">
        <v>82.487099999999998</v>
      </c>
      <c r="F29">
        <v>24</v>
      </c>
      <c r="G29">
        <v>128</v>
      </c>
      <c r="H29">
        <v>24</v>
      </c>
      <c r="I29">
        <v>124</v>
      </c>
    </row>
    <row r="30" spans="1:18" x14ac:dyDescent="0.3">
      <c r="A30">
        <v>25</v>
      </c>
      <c r="B30">
        <v>81</v>
      </c>
      <c r="C30">
        <v>25</v>
      </c>
      <c r="D30">
        <v>81.627799999999993</v>
      </c>
      <c r="F30">
        <v>25</v>
      </c>
      <c r="G30">
        <v>124</v>
      </c>
      <c r="H30">
        <v>25</v>
      </c>
      <c r="I30">
        <v>124.67529999999999</v>
      </c>
    </row>
    <row r="31" spans="1:18" x14ac:dyDescent="0.3">
      <c r="A31">
        <v>26</v>
      </c>
      <c r="B31">
        <v>78.708299999999994</v>
      </c>
      <c r="C31">
        <v>26</v>
      </c>
      <c r="D31">
        <v>81.666399999999996</v>
      </c>
      <c r="F31">
        <v>26</v>
      </c>
      <c r="G31">
        <v>123</v>
      </c>
      <c r="H31">
        <v>26</v>
      </c>
      <c r="I31">
        <v>122</v>
      </c>
    </row>
    <row r="32" spans="1:18" x14ac:dyDescent="0.3">
      <c r="A32">
        <v>27</v>
      </c>
      <c r="B32">
        <v>77.607399999999998</v>
      </c>
      <c r="C32">
        <v>27</v>
      </c>
      <c r="D32">
        <v>81.369900000000001</v>
      </c>
      <c r="F32">
        <v>27</v>
      </c>
      <c r="G32">
        <v>123</v>
      </c>
      <c r="H32">
        <v>27</v>
      </c>
      <c r="I32">
        <v>120.3506</v>
      </c>
    </row>
    <row r="33" spans="1:9" x14ac:dyDescent="0.3">
      <c r="A33">
        <v>28</v>
      </c>
      <c r="B33">
        <v>76.243600000000001</v>
      </c>
      <c r="C33">
        <v>28</v>
      </c>
      <c r="D33">
        <v>78.715400000000002</v>
      </c>
      <c r="F33">
        <v>28</v>
      </c>
      <c r="G33">
        <v>123</v>
      </c>
      <c r="H33">
        <v>28</v>
      </c>
      <c r="I33">
        <v>119.0909</v>
      </c>
    </row>
    <row r="34" spans="1:9" x14ac:dyDescent="0.3">
      <c r="A34">
        <v>29</v>
      </c>
      <c r="B34">
        <v>74.149000000000001</v>
      </c>
      <c r="C34">
        <v>29</v>
      </c>
      <c r="D34">
        <v>77.692999999999998</v>
      </c>
      <c r="F34">
        <v>29</v>
      </c>
      <c r="G34">
        <v>121</v>
      </c>
      <c r="H34">
        <v>29</v>
      </c>
      <c r="I34">
        <v>120</v>
      </c>
    </row>
    <row r="35" spans="1:9" x14ac:dyDescent="0.3">
      <c r="A35">
        <v>30</v>
      </c>
      <c r="B35">
        <v>73.964699999999993</v>
      </c>
      <c r="C35">
        <v>30</v>
      </c>
      <c r="D35">
        <v>74.890699999999995</v>
      </c>
      <c r="F35">
        <v>30</v>
      </c>
      <c r="G35">
        <v>120</v>
      </c>
      <c r="H35">
        <v>30</v>
      </c>
      <c r="I35">
        <v>120</v>
      </c>
    </row>
    <row r="36" spans="1:9" x14ac:dyDescent="0.3">
      <c r="A36">
        <v>31</v>
      </c>
      <c r="B36">
        <v>73.831699999999998</v>
      </c>
      <c r="C36">
        <v>31</v>
      </c>
      <c r="D36">
        <v>74.834500000000006</v>
      </c>
      <c r="F36">
        <v>31</v>
      </c>
      <c r="G36">
        <v>120</v>
      </c>
      <c r="H36">
        <v>31</v>
      </c>
      <c r="I36">
        <v>120</v>
      </c>
    </row>
    <row r="37" spans="1:9" x14ac:dyDescent="0.3">
      <c r="A37">
        <v>32</v>
      </c>
      <c r="B37">
        <v>72.461500000000001</v>
      </c>
      <c r="C37">
        <v>32</v>
      </c>
      <c r="D37">
        <v>72.927199999999999</v>
      </c>
      <c r="F37">
        <v>32</v>
      </c>
      <c r="G37">
        <v>118</v>
      </c>
      <c r="H37">
        <v>32</v>
      </c>
      <c r="I37">
        <v>118</v>
      </c>
    </row>
    <row r="38" spans="1:9" x14ac:dyDescent="0.3">
      <c r="A38">
        <v>33</v>
      </c>
      <c r="B38">
        <v>71.725999999999999</v>
      </c>
      <c r="C38">
        <v>33</v>
      </c>
      <c r="D38">
        <v>71.997500000000002</v>
      </c>
      <c r="F38">
        <v>33</v>
      </c>
      <c r="G38">
        <v>118</v>
      </c>
      <c r="H38">
        <v>33</v>
      </c>
      <c r="I38">
        <v>118</v>
      </c>
    </row>
    <row r="39" spans="1:9" x14ac:dyDescent="0.3">
      <c r="A39">
        <v>34</v>
      </c>
      <c r="B39">
        <v>68.608999999999995</v>
      </c>
      <c r="C39">
        <v>34</v>
      </c>
      <c r="D39">
        <v>71.911500000000004</v>
      </c>
      <c r="F39">
        <v>34</v>
      </c>
      <c r="G39">
        <v>119</v>
      </c>
      <c r="H39">
        <v>34</v>
      </c>
      <c r="I39">
        <v>117</v>
      </c>
    </row>
    <row r="40" spans="1:9" x14ac:dyDescent="0.3">
      <c r="A40">
        <v>35</v>
      </c>
      <c r="B40">
        <v>68</v>
      </c>
      <c r="C40">
        <v>35</v>
      </c>
      <c r="D40">
        <v>71.7864</v>
      </c>
      <c r="F40">
        <v>35</v>
      </c>
      <c r="G40">
        <v>118</v>
      </c>
      <c r="H40">
        <v>35</v>
      </c>
      <c r="I40">
        <v>115.4545</v>
      </c>
    </row>
    <row r="41" spans="1:9" x14ac:dyDescent="0.3">
      <c r="A41">
        <v>36</v>
      </c>
      <c r="B41">
        <v>69.410300000000007</v>
      </c>
      <c r="C41">
        <v>36</v>
      </c>
      <c r="D41">
        <v>68</v>
      </c>
      <c r="F41">
        <v>36</v>
      </c>
      <c r="G41">
        <v>117</v>
      </c>
      <c r="H41">
        <v>36</v>
      </c>
      <c r="I41">
        <v>117</v>
      </c>
    </row>
    <row r="42" spans="1:9" x14ac:dyDescent="0.3">
      <c r="A42">
        <v>37</v>
      </c>
      <c r="B42">
        <v>68.285300000000007</v>
      </c>
      <c r="C42">
        <v>37</v>
      </c>
      <c r="D42">
        <v>67.906199999999998</v>
      </c>
      <c r="F42">
        <v>37</v>
      </c>
      <c r="G42">
        <v>117</v>
      </c>
      <c r="H42">
        <v>37</v>
      </c>
      <c r="I42">
        <v>117</v>
      </c>
    </row>
    <row r="43" spans="1:9" x14ac:dyDescent="0.3">
      <c r="A43">
        <v>38</v>
      </c>
      <c r="B43">
        <v>68.833299999999994</v>
      </c>
      <c r="C43">
        <v>38</v>
      </c>
      <c r="D43">
        <v>66</v>
      </c>
      <c r="F43">
        <v>38</v>
      </c>
      <c r="G43">
        <v>117</v>
      </c>
      <c r="H43">
        <v>38</v>
      </c>
      <c r="I43">
        <v>117</v>
      </c>
    </row>
    <row r="44" spans="1:9" x14ac:dyDescent="0.3">
      <c r="A44">
        <v>39</v>
      </c>
      <c r="B44">
        <v>69</v>
      </c>
      <c r="C44">
        <v>39</v>
      </c>
      <c r="D44">
        <v>66</v>
      </c>
      <c r="F44">
        <v>39</v>
      </c>
      <c r="G44">
        <v>116</v>
      </c>
      <c r="H44">
        <v>39</v>
      </c>
      <c r="I44">
        <v>116</v>
      </c>
    </row>
    <row r="45" spans="1:9" x14ac:dyDescent="0.3">
      <c r="A45">
        <v>40</v>
      </c>
      <c r="B45">
        <v>67.333299999999994</v>
      </c>
      <c r="C45">
        <v>40</v>
      </c>
      <c r="D45">
        <v>66</v>
      </c>
      <c r="F45">
        <v>40</v>
      </c>
      <c r="G45">
        <v>116.7516</v>
      </c>
      <c r="H45">
        <v>40</v>
      </c>
      <c r="I45">
        <v>116</v>
      </c>
    </row>
    <row r="46" spans="1:9" x14ac:dyDescent="0.3">
      <c r="A46">
        <v>41</v>
      </c>
      <c r="B46">
        <v>67.745199999999997</v>
      </c>
      <c r="C46">
        <v>41</v>
      </c>
      <c r="D46">
        <v>65.965999999999994</v>
      </c>
      <c r="F46">
        <v>41</v>
      </c>
      <c r="G46">
        <v>115.7453</v>
      </c>
      <c r="H46">
        <v>41</v>
      </c>
      <c r="I46">
        <v>116</v>
      </c>
    </row>
    <row r="47" spans="1:9" x14ac:dyDescent="0.3">
      <c r="A47">
        <v>42</v>
      </c>
      <c r="B47">
        <v>65.403800000000004</v>
      </c>
      <c r="C47">
        <v>42</v>
      </c>
      <c r="D47">
        <v>65</v>
      </c>
      <c r="F47">
        <v>42</v>
      </c>
      <c r="G47">
        <v>116</v>
      </c>
      <c r="H47">
        <v>42</v>
      </c>
      <c r="I47">
        <v>115</v>
      </c>
    </row>
    <row r="48" spans="1:9" x14ac:dyDescent="0.3">
      <c r="A48">
        <v>43</v>
      </c>
      <c r="B48">
        <v>64.913499999999999</v>
      </c>
      <c r="C48">
        <v>43</v>
      </c>
      <c r="D48">
        <v>65</v>
      </c>
      <c r="F48">
        <v>43</v>
      </c>
      <c r="G48">
        <v>116</v>
      </c>
      <c r="H48">
        <v>43</v>
      </c>
      <c r="I48">
        <v>114.44159999999999</v>
      </c>
    </row>
    <row r="49" spans="1:9" x14ac:dyDescent="0.3">
      <c r="A49">
        <v>44</v>
      </c>
      <c r="B49">
        <v>64.153800000000004</v>
      </c>
      <c r="C49">
        <v>44</v>
      </c>
      <c r="D49">
        <v>65</v>
      </c>
      <c r="F49">
        <v>44</v>
      </c>
      <c r="G49">
        <v>115</v>
      </c>
      <c r="H49">
        <v>44</v>
      </c>
      <c r="I49">
        <v>111</v>
      </c>
    </row>
    <row r="50" spans="1:9" x14ac:dyDescent="0.3">
      <c r="A50">
        <v>45</v>
      </c>
      <c r="B50">
        <v>64</v>
      </c>
      <c r="C50">
        <v>45</v>
      </c>
      <c r="D50">
        <v>65.021000000000001</v>
      </c>
      <c r="F50">
        <v>45</v>
      </c>
      <c r="G50">
        <v>114.7205</v>
      </c>
      <c r="H50">
        <v>45</v>
      </c>
      <c r="I50">
        <v>111</v>
      </c>
    </row>
    <row r="51" spans="1:9" x14ac:dyDescent="0.3">
      <c r="A51">
        <v>46</v>
      </c>
      <c r="B51">
        <v>64.833299999999994</v>
      </c>
      <c r="C51">
        <v>46</v>
      </c>
      <c r="D51">
        <v>66</v>
      </c>
      <c r="F51">
        <v>46</v>
      </c>
      <c r="G51">
        <v>113</v>
      </c>
      <c r="H51">
        <v>46</v>
      </c>
      <c r="I51">
        <v>111</v>
      </c>
    </row>
    <row r="52" spans="1:9" x14ac:dyDescent="0.3">
      <c r="A52">
        <v>47</v>
      </c>
      <c r="B52">
        <v>65</v>
      </c>
      <c r="C52">
        <v>47</v>
      </c>
      <c r="D52">
        <v>66</v>
      </c>
      <c r="F52">
        <v>47</v>
      </c>
      <c r="G52">
        <v>112</v>
      </c>
      <c r="H52">
        <v>47</v>
      </c>
      <c r="I52">
        <v>111</v>
      </c>
    </row>
    <row r="53" spans="1:9" x14ac:dyDescent="0.3">
      <c r="A53">
        <v>48</v>
      </c>
      <c r="B53">
        <v>65</v>
      </c>
      <c r="C53">
        <v>48</v>
      </c>
      <c r="D53">
        <v>66</v>
      </c>
      <c r="F53">
        <v>48</v>
      </c>
      <c r="G53">
        <v>112</v>
      </c>
      <c r="H53">
        <v>48</v>
      </c>
      <c r="I53">
        <v>111</v>
      </c>
    </row>
    <row r="54" spans="1:9" x14ac:dyDescent="0.3">
      <c r="A54">
        <v>49</v>
      </c>
      <c r="B54">
        <v>65</v>
      </c>
      <c r="C54">
        <v>49</v>
      </c>
      <c r="D54">
        <v>65.991900000000001</v>
      </c>
      <c r="F54">
        <v>49</v>
      </c>
      <c r="G54">
        <v>112</v>
      </c>
      <c r="H54">
        <v>49</v>
      </c>
      <c r="I54">
        <v>111</v>
      </c>
    </row>
    <row r="55" spans="1:9" x14ac:dyDescent="0.3">
      <c r="A55">
        <v>50</v>
      </c>
      <c r="B55">
        <v>65</v>
      </c>
      <c r="C55">
        <v>50</v>
      </c>
      <c r="D55">
        <v>65</v>
      </c>
      <c r="F55">
        <v>50</v>
      </c>
      <c r="G55">
        <v>111</v>
      </c>
      <c r="H55">
        <v>50</v>
      </c>
      <c r="I55">
        <v>111</v>
      </c>
    </row>
    <row r="56" spans="1:9" x14ac:dyDescent="0.3">
      <c r="A56">
        <v>51</v>
      </c>
      <c r="B56">
        <v>65</v>
      </c>
      <c r="C56">
        <v>51</v>
      </c>
      <c r="D56">
        <v>65</v>
      </c>
      <c r="F56">
        <v>51</v>
      </c>
      <c r="G56">
        <v>111</v>
      </c>
      <c r="H56">
        <v>51</v>
      </c>
      <c r="I56">
        <v>111</v>
      </c>
    </row>
    <row r="57" spans="1:9" x14ac:dyDescent="0.3">
      <c r="A57">
        <v>52</v>
      </c>
      <c r="B57">
        <v>65</v>
      </c>
      <c r="C57">
        <v>52</v>
      </c>
      <c r="D57">
        <v>65</v>
      </c>
      <c r="F57">
        <v>52</v>
      </c>
      <c r="G57">
        <v>111</v>
      </c>
      <c r="H57">
        <v>52</v>
      </c>
      <c r="I57">
        <v>111</v>
      </c>
    </row>
    <row r="58" spans="1:9" x14ac:dyDescent="0.3">
      <c r="A58">
        <v>53</v>
      </c>
      <c r="B58">
        <v>65</v>
      </c>
      <c r="C58">
        <v>53</v>
      </c>
      <c r="D58">
        <v>65</v>
      </c>
      <c r="F58">
        <v>53</v>
      </c>
      <c r="G58">
        <v>111</v>
      </c>
      <c r="H58">
        <v>53</v>
      </c>
      <c r="I58">
        <v>109</v>
      </c>
    </row>
    <row r="59" spans="1:9" x14ac:dyDescent="0.3">
      <c r="A59" s="4">
        <v>54</v>
      </c>
      <c r="B59" s="4">
        <v>65</v>
      </c>
      <c r="C59" s="4">
        <v>54</v>
      </c>
      <c r="D59" s="4">
        <v>65</v>
      </c>
      <c r="F59">
        <v>54</v>
      </c>
      <c r="G59">
        <v>110</v>
      </c>
      <c r="H59">
        <v>54</v>
      </c>
      <c r="I59">
        <v>109</v>
      </c>
    </row>
    <row r="60" spans="1:9" x14ac:dyDescent="0.3">
      <c r="A60">
        <v>55</v>
      </c>
      <c r="B60">
        <v>65</v>
      </c>
      <c r="C60">
        <v>55</v>
      </c>
      <c r="D60">
        <v>65</v>
      </c>
      <c r="F60">
        <v>55</v>
      </c>
      <c r="G60">
        <v>108</v>
      </c>
      <c r="H60">
        <v>55</v>
      </c>
      <c r="I60">
        <v>109</v>
      </c>
    </row>
    <row r="61" spans="1:9" x14ac:dyDescent="0.3">
      <c r="A61">
        <v>56</v>
      </c>
      <c r="B61">
        <v>65</v>
      </c>
      <c r="C61">
        <v>56</v>
      </c>
      <c r="D61">
        <v>65</v>
      </c>
      <c r="F61">
        <v>56</v>
      </c>
      <c r="G61">
        <v>108</v>
      </c>
      <c r="H61">
        <v>56</v>
      </c>
      <c r="I61">
        <v>108</v>
      </c>
    </row>
    <row r="62" spans="1:9" x14ac:dyDescent="0.3">
      <c r="A62">
        <v>57</v>
      </c>
      <c r="B62">
        <v>65</v>
      </c>
      <c r="C62">
        <v>57</v>
      </c>
      <c r="D62">
        <v>65</v>
      </c>
      <c r="F62">
        <v>57</v>
      </c>
      <c r="G62">
        <v>108</v>
      </c>
      <c r="H62">
        <v>57</v>
      </c>
      <c r="I62">
        <v>108</v>
      </c>
    </row>
    <row r="63" spans="1:9" x14ac:dyDescent="0.3">
      <c r="A63">
        <v>58</v>
      </c>
      <c r="B63">
        <v>65</v>
      </c>
      <c r="C63">
        <v>58</v>
      </c>
      <c r="D63">
        <v>63.366799999999998</v>
      </c>
      <c r="F63">
        <v>58</v>
      </c>
      <c r="G63">
        <v>105</v>
      </c>
      <c r="H63">
        <v>58</v>
      </c>
      <c r="I63">
        <v>106</v>
      </c>
    </row>
    <row r="64" spans="1:9" x14ac:dyDescent="0.3">
      <c r="A64">
        <v>59</v>
      </c>
      <c r="B64">
        <v>65</v>
      </c>
      <c r="C64">
        <v>59</v>
      </c>
      <c r="D64">
        <v>63.983199999999997</v>
      </c>
      <c r="F64">
        <v>59</v>
      </c>
      <c r="G64">
        <v>105</v>
      </c>
      <c r="H64">
        <v>59</v>
      </c>
      <c r="I64">
        <v>106</v>
      </c>
    </row>
    <row r="65" spans="1:9" x14ac:dyDescent="0.3">
      <c r="A65">
        <v>60</v>
      </c>
      <c r="B65">
        <v>65</v>
      </c>
      <c r="C65">
        <v>60</v>
      </c>
      <c r="D65">
        <v>64.700299999999999</v>
      </c>
      <c r="F65">
        <v>60</v>
      </c>
      <c r="G65">
        <v>105</v>
      </c>
      <c r="H65">
        <v>60</v>
      </c>
      <c r="I65">
        <v>107.7792</v>
      </c>
    </row>
    <row r="66" spans="1:9" x14ac:dyDescent="0.3">
      <c r="A66">
        <v>61</v>
      </c>
      <c r="B66">
        <v>65</v>
      </c>
      <c r="C66">
        <v>61</v>
      </c>
      <c r="D66">
        <v>64.992199999999997</v>
      </c>
      <c r="F66">
        <v>61</v>
      </c>
      <c r="G66">
        <v>105</v>
      </c>
      <c r="H66">
        <v>61</v>
      </c>
      <c r="I66">
        <v>107.79219999999999</v>
      </c>
    </row>
    <row r="67" spans="1:9" x14ac:dyDescent="0.3">
      <c r="A67">
        <v>62</v>
      </c>
      <c r="B67">
        <v>62.5</v>
      </c>
      <c r="C67">
        <v>62</v>
      </c>
      <c r="D67">
        <v>64.034000000000006</v>
      </c>
      <c r="F67">
        <v>62</v>
      </c>
      <c r="G67">
        <v>105</v>
      </c>
      <c r="H67">
        <v>62</v>
      </c>
      <c r="I67">
        <v>107</v>
      </c>
    </row>
    <row r="68" spans="1:9" x14ac:dyDescent="0.3">
      <c r="A68">
        <v>63</v>
      </c>
      <c r="B68">
        <v>62</v>
      </c>
      <c r="C68">
        <v>63</v>
      </c>
      <c r="D68">
        <v>63.805300000000003</v>
      </c>
      <c r="F68">
        <v>63</v>
      </c>
      <c r="G68">
        <v>105</v>
      </c>
      <c r="H68">
        <v>63</v>
      </c>
      <c r="I68">
        <v>107</v>
      </c>
    </row>
    <row r="69" spans="1:9" x14ac:dyDescent="0.3">
      <c r="A69">
        <v>64</v>
      </c>
      <c r="B69">
        <v>62</v>
      </c>
      <c r="C69">
        <v>64</v>
      </c>
      <c r="D69">
        <v>64.162099999999995</v>
      </c>
      <c r="F69">
        <v>64</v>
      </c>
      <c r="G69">
        <v>107</v>
      </c>
      <c r="H69">
        <v>64</v>
      </c>
      <c r="I69">
        <v>107</v>
      </c>
    </row>
    <row r="70" spans="1:9" x14ac:dyDescent="0.3">
      <c r="A70">
        <v>65</v>
      </c>
      <c r="B70">
        <v>62</v>
      </c>
      <c r="C70">
        <v>65</v>
      </c>
      <c r="D70">
        <v>64.150499999999994</v>
      </c>
      <c r="F70">
        <v>65</v>
      </c>
      <c r="G70">
        <v>107</v>
      </c>
      <c r="H70">
        <v>65</v>
      </c>
      <c r="I70">
        <v>107</v>
      </c>
    </row>
    <row r="71" spans="1:9" x14ac:dyDescent="0.3">
      <c r="A71">
        <v>66</v>
      </c>
      <c r="B71">
        <v>62</v>
      </c>
      <c r="C71">
        <v>66</v>
      </c>
      <c r="D71">
        <v>65.077699999999993</v>
      </c>
      <c r="F71">
        <v>66</v>
      </c>
      <c r="G71">
        <v>107.59010000000001</v>
      </c>
      <c r="H71">
        <v>66</v>
      </c>
      <c r="I71">
        <v>107</v>
      </c>
    </row>
    <row r="72" spans="1:9" x14ac:dyDescent="0.3">
      <c r="A72">
        <v>67</v>
      </c>
      <c r="B72">
        <v>62</v>
      </c>
      <c r="C72">
        <v>67</v>
      </c>
      <c r="D72">
        <v>65.004999999999995</v>
      </c>
      <c r="F72">
        <v>67</v>
      </c>
      <c r="G72">
        <v>107.5839</v>
      </c>
      <c r="H72">
        <v>67</v>
      </c>
      <c r="I72">
        <v>107</v>
      </c>
    </row>
    <row r="73" spans="1:9" x14ac:dyDescent="0.3">
      <c r="A73">
        <v>68</v>
      </c>
      <c r="B73">
        <v>63.666699999999999</v>
      </c>
      <c r="C73">
        <v>68</v>
      </c>
      <c r="D73">
        <v>65.946600000000004</v>
      </c>
      <c r="F73">
        <v>68</v>
      </c>
      <c r="G73">
        <v>106.5776</v>
      </c>
      <c r="H73">
        <v>68</v>
      </c>
      <c r="I73">
        <v>106</v>
      </c>
    </row>
    <row r="74" spans="1:9" x14ac:dyDescent="0.3">
      <c r="A74">
        <v>69</v>
      </c>
      <c r="B74">
        <v>64</v>
      </c>
      <c r="C74">
        <v>69</v>
      </c>
      <c r="D74">
        <v>66</v>
      </c>
      <c r="F74">
        <v>69</v>
      </c>
      <c r="G74">
        <v>107</v>
      </c>
      <c r="H74">
        <v>69</v>
      </c>
      <c r="I74">
        <v>106</v>
      </c>
    </row>
    <row r="75" spans="1:9" x14ac:dyDescent="0.3">
      <c r="A75">
        <v>70</v>
      </c>
      <c r="B75">
        <v>65.666700000000006</v>
      </c>
      <c r="C75">
        <v>70</v>
      </c>
      <c r="D75">
        <v>66</v>
      </c>
      <c r="F75">
        <v>70</v>
      </c>
      <c r="G75">
        <v>105</v>
      </c>
      <c r="H75">
        <v>70</v>
      </c>
      <c r="I75">
        <v>106</v>
      </c>
    </row>
    <row r="76" spans="1:9" x14ac:dyDescent="0.3">
      <c r="A76">
        <v>71</v>
      </c>
      <c r="B76">
        <v>66</v>
      </c>
      <c r="C76">
        <v>71</v>
      </c>
      <c r="D76">
        <v>67.873800000000003</v>
      </c>
      <c r="F76">
        <v>71</v>
      </c>
      <c r="G76">
        <v>105</v>
      </c>
      <c r="H76">
        <v>71</v>
      </c>
      <c r="I76">
        <v>106</v>
      </c>
    </row>
    <row r="77" spans="1:9" x14ac:dyDescent="0.3">
      <c r="A77">
        <v>72</v>
      </c>
      <c r="B77">
        <v>70.166700000000006</v>
      </c>
      <c r="C77">
        <v>72</v>
      </c>
      <c r="D77">
        <v>68</v>
      </c>
      <c r="F77">
        <v>72</v>
      </c>
      <c r="G77">
        <v>105</v>
      </c>
      <c r="H77">
        <v>72</v>
      </c>
      <c r="I77">
        <v>105</v>
      </c>
    </row>
    <row r="78" spans="1:9" x14ac:dyDescent="0.3">
      <c r="A78">
        <v>73</v>
      </c>
      <c r="B78">
        <v>70.334900000000005</v>
      </c>
      <c r="C78">
        <v>73</v>
      </c>
      <c r="D78">
        <v>68.052700000000002</v>
      </c>
      <c r="F78">
        <v>73</v>
      </c>
      <c r="G78">
        <v>105</v>
      </c>
      <c r="H78">
        <v>73</v>
      </c>
      <c r="I78">
        <v>105</v>
      </c>
    </row>
    <row r="79" spans="1:9" x14ac:dyDescent="0.3">
      <c r="A79">
        <v>74</v>
      </c>
      <c r="B79">
        <v>69.682699999999997</v>
      </c>
      <c r="C79">
        <v>74</v>
      </c>
      <c r="D79">
        <v>69.936899999999994</v>
      </c>
      <c r="F79">
        <v>74</v>
      </c>
      <c r="G79">
        <v>105</v>
      </c>
      <c r="H79">
        <v>74</v>
      </c>
      <c r="I79">
        <v>105</v>
      </c>
    </row>
    <row r="80" spans="1:9" x14ac:dyDescent="0.3">
      <c r="A80">
        <v>75</v>
      </c>
      <c r="B80">
        <v>69.557699999999997</v>
      </c>
      <c r="C80">
        <v>75</v>
      </c>
      <c r="D80">
        <v>70.108400000000003</v>
      </c>
      <c r="F80">
        <v>75</v>
      </c>
      <c r="G80">
        <v>105</v>
      </c>
      <c r="H80">
        <v>75</v>
      </c>
      <c r="I80">
        <v>105</v>
      </c>
    </row>
    <row r="81" spans="1:9" x14ac:dyDescent="0.3">
      <c r="A81">
        <v>76</v>
      </c>
      <c r="B81">
        <v>70.115399999999994</v>
      </c>
      <c r="C81">
        <v>76</v>
      </c>
      <c r="D81">
        <v>72.8964</v>
      </c>
      <c r="F81">
        <v>76</v>
      </c>
      <c r="G81">
        <v>105</v>
      </c>
      <c r="H81">
        <v>76</v>
      </c>
      <c r="I81">
        <v>106</v>
      </c>
    </row>
    <row r="82" spans="1:9" x14ac:dyDescent="0.3">
      <c r="A82">
        <v>77</v>
      </c>
      <c r="B82">
        <v>70.873400000000004</v>
      </c>
      <c r="C82">
        <v>77</v>
      </c>
      <c r="D82">
        <v>73.160200000000003</v>
      </c>
      <c r="F82" s="4">
        <v>77</v>
      </c>
      <c r="G82" s="4">
        <v>105</v>
      </c>
      <c r="H82" s="4">
        <v>77</v>
      </c>
      <c r="I82" s="4">
        <v>106</v>
      </c>
    </row>
    <row r="83" spans="1:9" x14ac:dyDescent="0.3">
      <c r="A83">
        <v>78</v>
      </c>
      <c r="B83">
        <v>73.916700000000006</v>
      </c>
      <c r="C83">
        <v>78</v>
      </c>
      <c r="D83">
        <v>75.758700000000005</v>
      </c>
      <c r="F83">
        <v>78</v>
      </c>
      <c r="G83">
        <v>105</v>
      </c>
      <c r="H83">
        <v>78</v>
      </c>
      <c r="I83">
        <v>106</v>
      </c>
    </row>
    <row r="84" spans="1:9" x14ac:dyDescent="0.3">
      <c r="A84">
        <v>79</v>
      </c>
      <c r="B84">
        <v>74.729200000000006</v>
      </c>
      <c r="C84">
        <v>79</v>
      </c>
      <c r="D84">
        <v>76.193100000000001</v>
      </c>
      <c r="F84">
        <v>79</v>
      </c>
      <c r="G84">
        <v>105</v>
      </c>
      <c r="H84">
        <v>79</v>
      </c>
      <c r="I84">
        <v>106</v>
      </c>
    </row>
    <row r="85" spans="1:9" x14ac:dyDescent="0.3">
      <c r="A85">
        <v>80</v>
      </c>
      <c r="B85">
        <v>76.858999999999995</v>
      </c>
      <c r="C85">
        <v>80</v>
      </c>
      <c r="D85">
        <v>78.961200000000005</v>
      </c>
      <c r="F85">
        <v>80</v>
      </c>
      <c r="G85">
        <v>105</v>
      </c>
      <c r="H85">
        <v>80</v>
      </c>
      <c r="I85">
        <v>105</v>
      </c>
    </row>
    <row r="86" spans="1:9" x14ac:dyDescent="0.3">
      <c r="A86">
        <v>81</v>
      </c>
      <c r="B86">
        <v>77.743600000000001</v>
      </c>
      <c r="C86">
        <v>81</v>
      </c>
      <c r="D86">
        <v>80.834199999999996</v>
      </c>
      <c r="F86">
        <v>81</v>
      </c>
      <c r="G86">
        <v>105</v>
      </c>
      <c r="H86">
        <v>81</v>
      </c>
      <c r="I86">
        <v>105</v>
      </c>
    </row>
    <row r="87" spans="1:9" x14ac:dyDescent="0.3">
      <c r="A87">
        <v>82</v>
      </c>
      <c r="B87">
        <v>79.884600000000006</v>
      </c>
      <c r="C87">
        <v>82</v>
      </c>
      <c r="D87">
        <v>84.723299999999995</v>
      </c>
      <c r="F87">
        <v>82</v>
      </c>
      <c r="G87">
        <v>106</v>
      </c>
      <c r="H87">
        <v>82</v>
      </c>
      <c r="I87">
        <v>105</v>
      </c>
    </row>
    <row r="88" spans="1:9" x14ac:dyDescent="0.3">
      <c r="A88">
        <v>83</v>
      </c>
      <c r="B88">
        <v>80.882999999999996</v>
      </c>
      <c r="C88">
        <v>83</v>
      </c>
      <c r="D88">
        <v>83.209299999999999</v>
      </c>
      <c r="F88">
        <v>83</v>
      </c>
      <c r="G88">
        <v>106</v>
      </c>
      <c r="H88">
        <v>83</v>
      </c>
      <c r="I88">
        <v>105</v>
      </c>
    </row>
    <row r="89" spans="1:9" x14ac:dyDescent="0.3">
      <c r="A89">
        <v>84</v>
      </c>
      <c r="B89">
        <v>84.076899999999995</v>
      </c>
      <c r="C89">
        <v>84</v>
      </c>
      <c r="D89">
        <v>90.158600000000007</v>
      </c>
      <c r="F89">
        <v>84</v>
      </c>
      <c r="G89">
        <v>106</v>
      </c>
      <c r="H89">
        <v>84</v>
      </c>
      <c r="I89">
        <v>105</v>
      </c>
    </row>
    <row r="90" spans="1:9" x14ac:dyDescent="0.3">
      <c r="A90">
        <v>85</v>
      </c>
      <c r="B90">
        <v>86.653800000000004</v>
      </c>
      <c r="C90">
        <v>85</v>
      </c>
      <c r="D90">
        <v>93.438199999999995</v>
      </c>
      <c r="F90">
        <v>85</v>
      </c>
      <c r="G90">
        <v>106</v>
      </c>
      <c r="H90">
        <v>85</v>
      </c>
      <c r="I90">
        <v>105.1039</v>
      </c>
    </row>
    <row r="91" spans="1:9" x14ac:dyDescent="0.3">
      <c r="A91">
        <v>86</v>
      </c>
      <c r="B91">
        <v>91.169899999999998</v>
      </c>
      <c r="C91">
        <v>86</v>
      </c>
      <c r="D91">
        <v>98.417900000000003</v>
      </c>
      <c r="F91">
        <v>86</v>
      </c>
      <c r="G91">
        <v>106</v>
      </c>
      <c r="H91">
        <v>86</v>
      </c>
      <c r="I91">
        <v>106</v>
      </c>
    </row>
    <row r="92" spans="1:9" x14ac:dyDescent="0.3">
      <c r="A92">
        <v>87</v>
      </c>
      <c r="B92">
        <v>92.833299999999994</v>
      </c>
      <c r="C92">
        <v>87</v>
      </c>
      <c r="D92">
        <v>99</v>
      </c>
      <c r="F92">
        <v>87</v>
      </c>
      <c r="G92">
        <v>105</v>
      </c>
      <c r="H92">
        <v>87</v>
      </c>
      <c r="I92">
        <v>106</v>
      </c>
    </row>
    <row r="93" spans="1:9" x14ac:dyDescent="0.3">
      <c r="A93">
        <v>88</v>
      </c>
      <c r="B93">
        <v>98</v>
      </c>
      <c r="C93">
        <v>88</v>
      </c>
      <c r="D93">
        <v>105.17310000000001</v>
      </c>
      <c r="F93">
        <v>88</v>
      </c>
      <c r="G93">
        <v>107</v>
      </c>
      <c r="H93">
        <v>88</v>
      </c>
      <c r="I93">
        <v>106</v>
      </c>
    </row>
    <row r="94" spans="1:9" x14ac:dyDescent="0.3">
      <c r="A94">
        <v>89</v>
      </c>
      <c r="B94">
        <v>101.5</v>
      </c>
      <c r="C94">
        <v>89</v>
      </c>
      <c r="D94">
        <v>107.3436</v>
      </c>
      <c r="F94">
        <v>89</v>
      </c>
      <c r="G94">
        <v>107</v>
      </c>
      <c r="H94">
        <v>89</v>
      </c>
      <c r="I94">
        <v>107.6883</v>
      </c>
    </row>
    <row r="95" spans="1:9" x14ac:dyDescent="0.3">
      <c r="A95">
        <v>90</v>
      </c>
      <c r="B95">
        <v>107.9135</v>
      </c>
      <c r="C95">
        <v>90</v>
      </c>
      <c r="D95">
        <v>112.7557</v>
      </c>
      <c r="F95">
        <v>90</v>
      </c>
      <c r="G95">
        <v>107.559</v>
      </c>
      <c r="H95">
        <v>90</v>
      </c>
      <c r="I95">
        <v>106</v>
      </c>
    </row>
    <row r="96" spans="1:9" x14ac:dyDescent="0.3">
      <c r="A96">
        <v>91</v>
      </c>
      <c r="B96">
        <v>112.04170000000001</v>
      </c>
      <c r="C96">
        <v>91</v>
      </c>
      <c r="D96">
        <v>116.5497</v>
      </c>
      <c r="F96">
        <v>91</v>
      </c>
      <c r="G96">
        <v>107.5652</v>
      </c>
      <c r="H96">
        <v>91</v>
      </c>
      <c r="I96">
        <v>106</v>
      </c>
    </row>
    <row r="97" spans="1:9" x14ac:dyDescent="0.3">
      <c r="A97">
        <v>92</v>
      </c>
      <c r="B97">
        <v>114.2179</v>
      </c>
      <c r="C97">
        <v>92</v>
      </c>
      <c r="D97">
        <v>117.9533</v>
      </c>
      <c r="F97">
        <v>92</v>
      </c>
      <c r="G97">
        <v>107.5714</v>
      </c>
      <c r="H97">
        <v>92</v>
      </c>
      <c r="I97">
        <v>106</v>
      </c>
    </row>
    <row r="98" spans="1:9" x14ac:dyDescent="0.3">
      <c r="A98">
        <v>93</v>
      </c>
      <c r="B98">
        <v>119.601</v>
      </c>
      <c r="C98">
        <v>93</v>
      </c>
      <c r="D98">
        <v>122.8458</v>
      </c>
      <c r="F98">
        <v>93</v>
      </c>
      <c r="G98">
        <v>108</v>
      </c>
      <c r="H98">
        <v>93</v>
      </c>
      <c r="I98">
        <v>108</v>
      </c>
    </row>
    <row r="99" spans="1:9" x14ac:dyDescent="0.3">
      <c r="A99">
        <v>94</v>
      </c>
      <c r="B99">
        <v>120.4199</v>
      </c>
      <c r="C99">
        <v>94</v>
      </c>
      <c r="D99">
        <v>125.6699</v>
      </c>
      <c r="F99">
        <v>94</v>
      </c>
      <c r="G99">
        <v>108.8323</v>
      </c>
      <c r="H99">
        <v>94</v>
      </c>
      <c r="I99">
        <v>108</v>
      </c>
    </row>
    <row r="100" spans="1:9" x14ac:dyDescent="0.3">
      <c r="A100">
        <v>95</v>
      </c>
      <c r="B100">
        <v>123.3349</v>
      </c>
      <c r="C100">
        <v>95</v>
      </c>
      <c r="D100">
        <v>132.3357</v>
      </c>
      <c r="F100">
        <v>95</v>
      </c>
      <c r="G100">
        <v>108</v>
      </c>
      <c r="H100">
        <v>95</v>
      </c>
      <c r="I100">
        <v>108</v>
      </c>
    </row>
    <row r="101" spans="1:9" x14ac:dyDescent="0.3">
      <c r="A101">
        <v>96</v>
      </c>
      <c r="B101">
        <v>127.4423</v>
      </c>
      <c r="C101">
        <v>96</v>
      </c>
      <c r="D101">
        <v>130.4821</v>
      </c>
      <c r="F101">
        <v>96</v>
      </c>
      <c r="G101">
        <v>110</v>
      </c>
      <c r="H101">
        <v>96</v>
      </c>
      <c r="I101">
        <v>109.5065</v>
      </c>
    </row>
    <row r="102" spans="1:9" x14ac:dyDescent="0.3">
      <c r="A102">
        <v>97</v>
      </c>
      <c r="B102">
        <v>134.08009999999999</v>
      </c>
      <c r="C102" s="1">
        <v>97</v>
      </c>
      <c r="D102" s="1">
        <v>137.7037</v>
      </c>
      <c r="F102">
        <v>97</v>
      </c>
      <c r="G102">
        <v>110.39749999999999</v>
      </c>
      <c r="H102">
        <v>97</v>
      </c>
      <c r="I102">
        <v>109.48050000000001</v>
      </c>
    </row>
    <row r="103" spans="1:9" x14ac:dyDescent="0.3">
      <c r="A103">
        <v>98</v>
      </c>
      <c r="B103">
        <v>129.66990000000001</v>
      </c>
      <c r="C103">
        <v>98</v>
      </c>
      <c r="D103">
        <v>131.7176</v>
      </c>
      <c r="F103">
        <v>98</v>
      </c>
      <c r="G103">
        <v>109.1739</v>
      </c>
      <c r="H103">
        <v>98</v>
      </c>
      <c r="I103">
        <v>110</v>
      </c>
    </row>
    <row r="104" spans="1:9" x14ac:dyDescent="0.3">
      <c r="A104">
        <v>99</v>
      </c>
      <c r="B104">
        <v>138.0112</v>
      </c>
      <c r="C104">
        <v>99</v>
      </c>
      <c r="D104">
        <v>137.68709999999999</v>
      </c>
      <c r="F104">
        <v>99</v>
      </c>
      <c r="G104">
        <v>110</v>
      </c>
      <c r="H104">
        <v>99</v>
      </c>
      <c r="I104">
        <v>111</v>
      </c>
    </row>
    <row r="105" spans="1:9" x14ac:dyDescent="0.3">
      <c r="A105">
        <v>100</v>
      </c>
      <c r="B105">
        <v>136.58969999999999</v>
      </c>
      <c r="C105">
        <v>100</v>
      </c>
      <c r="D105">
        <v>132.46170000000001</v>
      </c>
      <c r="F105">
        <v>100</v>
      </c>
      <c r="G105">
        <v>110.6211</v>
      </c>
      <c r="H105">
        <v>100</v>
      </c>
      <c r="I105">
        <v>108.59739999999999</v>
      </c>
    </row>
    <row r="106" spans="1:9" x14ac:dyDescent="0.3">
      <c r="A106" s="1">
        <v>101</v>
      </c>
      <c r="B106" s="1">
        <v>141.7276</v>
      </c>
      <c r="C106">
        <v>101</v>
      </c>
      <c r="D106">
        <v>135.41749999999999</v>
      </c>
      <c r="F106">
        <v>101</v>
      </c>
      <c r="G106">
        <v>111</v>
      </c>
      <c r="H106">
        <v>101</v>
      </c>
      <c r="I106">
        <v>111</v>
      </c>
    </row>
    <row r="107" spans="1:9" x14ac:dyDescent="0.3">
      <c r="A107">
        <v>102</v>
      </c>
      <c r="B107">
        <v>130.4872</v>
      </c>
      <c r="C107">
        <v>102</v>
      </c>
      <c r="D107">
        <v>129.17779999999999</v>
      </c>
      <c r="F107">
        <v>102</v>
      </c>
      <c r="G107">
        <v>109</v>
      </c>
      <c r="H107">
        <v>102</v>
      </c>
      <c r="I107">
        <v>111</v>
      </c>
    </row>
    <row r="108" spans="1:9" x14ac:dyDescent="0.3">
      <c r="A108">
        <v>103</v>
      </c>
      <c r="B108">
        <v>128.8494</v>
      </c>
      <c r="C108">
        <v>103</v>
      </c>
      <c r="D108">
        <v>128.66669999999999</v>
      </c>
      <c r="F108">
        <v>103</v>
      </c>
      <c r="G108">
        <v>109</v>
      </c>
      <c r="H108">
        <v>103</v>
      </c>
      <c r="I108">
        <v>111</v>
      </c>
    </row>
    <row r="109" spans="1:9" x14ac:dyDescent="0.3">
      <c r="A109">
        <v>104</v>
      </c>
      <c r="B109">
        <v>127.75</v>
      </c>
      <c r="F109">
        <v>104</v>
      </c>
      <c r="G109">
        <v>108</v>
      </c>
      <c r="H109">
        <v>104</v>
      </c>
      <c r="I109">
        <v>112</v>
      </c>
    </row>
    <row r="110" spans="1:9" x14ac:dyDescent="0.3">
      <c r="F110">
        <v>105</v>
      </c>
      <c r="G110">
        <v>108</v>
      </c>
      <c r="H110">
        <v>105</v>
      </c>
      <c r="I110">
        <v>112</v>
      </c>
    </row>
    <row r="111" spans="1:9" x14ac:dyDescent="0.3">
      <c r="F111">
        <v>106</v>
      </c>
      <c r="G111">
        <v>110</v>
      </c>
      <c r="H111">
        <v>106</v>
      </c>
      <c r="I111">
        <v>112</v>
      </c>
    </row>
    <row r="112" spans="1:9" x14ac:dyDescent="0.3">
      <c r="F112">
        <v>107</v>
      </c>
      <c r="G112">
        <v>110</v>
      </c>
      <c r="H112">
        <v>107</v>
      </c>
      <c r="I112">
        <v>113</v>
      </c>
    </row>
    <row r="113" spans="6:9" x14ac:dyDescent="0.3">
      <c r="F113">
        <v>108</v>
      </c>
      <c r="G113">
        <v>111</v>
      </c>
      <c r="H113">
        <v>108</v>
      </c>
      <c r="I113">
        <v>111.40260000000001</v>
      </c>
    </row>
    <row r="114" spans="6:9" x14ac:dyDescent="0.3">
      <c r="F114">
        <v>109</v>
      </c>
      <c r="G114">
        <v>111</v>
      </c>
      <c r="H114">
        <v>109</v>
      </c>
      <c r="I114">
        <v>112</v>
      </c>
    </row>
    <row r="115" spans="6:9" x14ac:dyDescent="0.3">
      <c r="F115">
        <v>110</v>
      </c>
      <c r="G115">
        <v>109</v>
      </c>
      <c r="H115">
        <v>110</v>
      </c>
      <c r="I115">
        <v>114</v>
      </c>
    </row>
    <row r="116" spans="6:9" x14ac:dyDescent="0.3">
      <c r="F116">
        <v>111</v>
      </c>
      <c r="G116">
        <v>109</v>
      </c>
      <c r="H116">
        <v>111</v>
      </c>
      <c r="I116">
        <v>114</v>
      </c>
    </row>
    <row r="117" spans="6:9" x14ac:dyDescent="0.3">
      <c r="F117">
        <v>112</v>
      </c>
      <c r="G117">
        <v>112</v>
      </c>
      <c r="H117">
        <v>112</v>
      </c>
      <c r="I117">
        <v>116.4545</v>
      </c>
    </row>
    <row r="118" spans="6:9" x14ac:dyDescent="0.3">
      <c r="F118">
        <v>113</v>
      </c>
      <c r="G118">
        <v>113</v>
      </c>
      <c r="H118">
        <v>113</v>
      </c>
      <c r="I118">
        <v>117</v>
      </c>
    </row>
    <row r="119" spans="6:9" x14ac:dyDescent="0.3">
      <c r="F119">
        <v>114</v>
      </c>
      <c r="G119">
        <v>111.7081</v>
      </c>
      <c r="H119">
        <v>114</v>
      </c>
      <c r="I119">
        <v>117</v>
      </c>
    </row>
    <row r="120" spans="6:9" x14ac:dyDescent="0.3">
      <c r="F120">
        <v>115</v>
      </c>
      <c r="G120">
        <v>112.71429999999999</v>
      </c>
      <c r="H120">
        <v>115</v>
      </c>
      <c r="I120">
        <v>117</v>
      </c>
    </row>
    <row r="121" spans="6:9" x14ac:dyDescent="0.3">
      <c r="F121">
        <v>116</v>
      </c>
      <c r="G121">
        <v>114.2795</v>
      </c>
      <c r="H121">
        <v>116</v>
      </c>
      <c r="I121">
        <v>118</v>
      </c>
    </row>
    <row r="122" spans="6:9" x14ac:dyDescent="0.3">
      <c r="F122">
        <v>117</v>
      </c>
      <c r="G122">
        <v>115</v>
      </c>
      <c r="H122">
        <v>117</v>
      </c>
      <c r="I122">
        <v>118</v>
      </c>
    </row>
    <row r="123" spans="6:9" x14ac:dyDescent="0.3">
      <c r="F123">
        <v>118</v>
      </c>
      <c r="G123">
        <v>116</v>
      </c>
      <c r="H123">
        <v>118</v>
      </c>
      <c r="I123">
        <v>117.5325</v>
      </c>
    </row>
    <row r="124" spans="6:9" x14ac:dyDescent="0.3">
      <c r="F124">
        <v>119</v>
      </c>
      <c r="G124">
        <v>116.73909999999999</v>
      </c>
      <c r="H124">
        <v>119</v>
      </c>
      <c r="I124">
        <v>119.0909</v>
      </c>
    </row>
    <row r="125" spans="6:9" x14ac:dyDescent="0.3">
      <c r="F125">
        <v>120</v>
      </c>
      <c r="G125">
        <v>117.7453</v>
      </c>
      <c r="H125">
        <v>120</v>
      </c>
      <c r="I125">
        <v>120.55840000000001</v>
      </c>
    </row>
    <row r="126" spans="6:9" x14ac:dyDescent="0.3">
      <c r="F126">
        <v>121</v>
      </c>
      <c r="G126">
        <v>117</v>
      </c>
      <c r="H126">
        <v>121</v>
      </c>
      <c r="I126">
        <v>121.5714</v>
      </c>
    </row>
    <row r="127" spans="6:9" x14ac:dyDescent="0.3">
      <c r="F127">
        <v>122</v>
      </c>
      <c r="G127">
        <v>117.7578</v>
      </c>
      <c r="H127">
        <v>122</v>
      </c>
      <c r="I127">
        <v>121</v>
      </c>
    </row>
    <row r="128" spans="6:9" x14ac:dyDescent="0.3">
      <c r="F128">
        <v>123</v>
      </c>
      <c r="G128">
        <v>117.764</v>
      </c>
      <c r="H128">
        <v>123</v>
      </c>
      <c r="I128">
        <v>121</v>
      </c>
    </row>
    <row r="129" spans="6:9" x14ac:dyDescent="0.3">
      <c r="F129">
        <v>124</v>
      </c>
      <c r="G129">
        <v>120.54040000000001</v>
      </c>
      <c r="H129">
        <v>124</v>
      </c>
      <c r="I129">
        <v>122</v>
      </c>
    </row>
    <row r="130" spans="6:9" x14ac:dyDescent="0.3">
      <c r="F130">
        <v>125</v>
      </c>
      <c r="G130">
        <v>120.5528</v>
      </c>
      <c r="H130">
        <v>125</v>
      </c>
      <c r="I130">
        <v>123</v>
      </c>
    </row>
    <row r="131" spans="6:9" x14ac:dyDescent="0.3">
      <c r="F131">
        <v>126</v>
      </c>
      <c r="G131">
        <v>120.5652</v>
      </c>
      <c r="H131">
        <v>126</v>
      </c>
      <c r="I131">
        <v>122</v>
      </c>
    </row>
    <row r="132" spans="6:9" x14ac:dyDescent="0.3">
      <c r="F132">
        <v>127</v>
      </c>
      <c r="G132">
        <v>121.21120000000001</v>
      </c>
      <c r="H132">
        <v>127</v>
      </c>
      <c r="I132">
        <v>123</v>
      </c>
    </row>
    <row r="133" spans="6:9" x14ac:dyDescent="0.3">
      <c r="F133">
        <v>128</v>
      </c>
      <c r="G133">
        <v>122</v>
      </c>
      <c r="H133">
        <v>128</v>
      </c>
      <c r="I133">
        <v>123</v>
      </c>
    </row>
    <row r="134" spans="6:9" x14ac:dyDescent="0.3">
      <c r="F134">
        <v>129</v>
      </c>
      <c r="G134">
        <v>122.19880000000001</v>
      </c>
      <c r="H134">
        <v>129</v>
      </c>
      <c r="I134">
        <v>125</v>
      </c>
    </row>
    <row r="135" spans="6:9" x14ac:dyDescent="0.3">
      <c r="F135">
        <v>130</v>
      </c>
      <c r="G135">
        <v>122</v>
      </c>
      <c r="H135">
        <v>130</v>
      </c>
      <c r="I135">
        <v>125</v>
      </c>
    </row>
    <row r="136" spans="6:9" x14ac:dyDescent="0.3">
      <c r="F136">
        <v>131</v>
      </c>
      <c r="G136">
        <v>122</v>
      </c>
      <c r="H136">
        <v>131</v>
      </c>
      <c r="I136">
        <v>127</v>
      </c>
    </row>
    <row r="137" spans="6:9" x14ac:dyDescent="0.3">
      <c r="F137">
        <v>132</v>
      </c>
      <c r="G137">
        <v>123.1801</v>
      </c>
      <c r="H137">
        <v>132</v>
      </c>
      <c r="I137">
        <v>128</v>
      </c>
    </row>
    <row r="138" spans="6:9" x14ac:dyDescent="0.3">
      <c r="F138">
        <v>133</v>
      </c>
      <c r="G138">
        <v>124</v>
      </c>
      <c r="H138">
        <v>133</v>
      </c>
      <c r="I138">
        <v>129</v>
      </c>
    </row>
    <row r="139" spans="6:9" x14ac:dyDescent="0.3">
      <c r="F139">
        <v>134</v>
      </c>
      <c r="G139">
        <v>122.6708</v>
      </c>
      <c r="H139">
        <v>134</v>
      </c>
      <c r="I139">
        <v>131</v>
      </c>
    </row>
    <row r="140" spans="6:9" x14ac:dyDescent="0.3">
      <c r="F140">
        <v>135</v>
      </c>
      <c r="G140">
        <v>125.1615</v>
      </c>
      <c r="H140">
        <v>135</v>
      </c>
      <c r="I140">
        <v>133</v>
      </c>
    </row>
    <row r="141" spans="6:9" x14ac:dyDescent="0.3">
      <c r="F141">
        <v>136</v>
      </c>
      <c r="G141">
        <v>126</v>
      </c>
      <c r="H141">
        <v>136</v>
      </c>
      <c r="I141">
        <v>131</v>
      </c>
    </row>
    <row r="142" spans="6:9" x14ac:dyDescent="0.3">
      <c r="F142">
        <v>137</v>
      </c>
      <c r="G142">
        <v>128.1491</v>
      </c>
      <c r="H142">
        <v>137</v>
      </c>
      <c r="I142">
        <v>134</v>
      </c>
    </row>
    <row r="143" spans="6:9" x14ac:dyDescent="0.3">
      <c r="F143">
        <v>138</v>
      </c>
      <c r="G143">
        <v>131</v>
      </c>
      <c r="H143">
        <v>138</v>
      </c>
      <c r="I143">
        <v>133</v>
      </c>
    </row>
    <row r="144" spans="6:9" x14ac:dyDescent="0.3">
      <c r="F144">
        <v>139</v>
      </c>
      <c r="G144">
        <v>134</v>
      </c>
      <c r="H144" s="1">
        <v>139</v>
      </c>
      <c r="I144" s="1">
        <v>137</v>
      </c>
    </row>
    <row r="145" spans="6:9" x14ac:dyDescent="0.3">
      <c r="F145">
        <v>140</v>
      </c>
      <c r="G145">
        <v>132</v>
      </c>
      <c r="H145">
        <v>140</v>
      </c>
      <c r="I145">
        <v>130</v>
      </c>
    </row>
    <row r="146" spans="6:9" x14ac:dyDescent="0.3">
      <c r="F146">
        <v>141</v>
      </c>
      <c r="G146">
        <v>135.7516</v>
      </c>
      <c r="H146">
        <v>141</v>
      </c>
      <c r="I146">
        <v>132.1688</v>
      </c>
    </row>
    <row r="147" spans="6:9" x14ac:dyDescent="0.3">
      <c r="F147">
        <v>142</v>
      </c>
      <c r="G147">
        <v>135.76400000000001</v>
      </c>
      <c r="H147">
        <v>142</v>
      </c>
      <c r="I147">
        <v>128.1558</v>
      </c>
    </row>
    <row r="148" spans="6:9" x14ac:dyDescent="0.3">
      <c r="F148">
        <v>143</v>
      </c>
      <c r="G148">
        <v>138.88820000000001</v>
      </c>
      <c r="H148">
        <v>143</v>
      </c>
      <c r="I148">
        <v>132.1429</v>
      </c>
    </row>
    <row r="149" spans="6:9" x14ac:dyDescent="0.3">
      <c r="F149">
        <v>144</v>
      </c>
      <c r="G149">
        <v>135.89439999999999</v>
      </c>
      <c r="H149">
        <v>144</v>
      </c>
      <c r="I149">
        <v>129</v>
      </c>
    </row>
    <row r="150" spans="6:9" x14ac:dyDescent="0.3">
      <c r="F150">
        <v>145</v>
      </c>
      <c r="G150">
        <v>136</v>
      </c>
      <c r="H150">
        <v>145</v>
      </c>
      <c r="I150">
        <v>130.2338</v>
      </c>
    </row>
    <row r="151" spans="6:9" x14ac:dyDescent="0.3">
      <c r="F151">
        <v>146</v>
      </c>
      <c r="G151">
        <v>133.0932</v>
      </c>
      <c r="H151">
        <v>146</v>
      </c>
      <c r="I151">
        <v>131</v>
      </c>
    </row>
    <row r="152" spans="6:9" x14ac:dyDescent="0.3">
      <c r="F152">
        <v>147</v>
      </c>
      <c r="G152">
        <v>138.8261</v>
      </c>
      <c r="H152">
        <v>147</v>
      </c>
      <c r="I152">
        <v>134</v>
      </c>
    </row>
    <row r="153" spans="6:9" x14ac:dyDescent="0.3">
      <c r="F153">
        <v>148</v>
      </c>
      <c r="G153">
        <v>134.83850000000001</v>
      </c>
      <c r="H153">
        <v>148</v>
      </c>
      <c r="I153">
        <v>131.9221</v>
      </c>
    </row>
    <row r="154" spans="6:9" x14ac:dyDescent="0.3">
      <c r="F154" s="1">
        <v>149</v>
      </c>
      <c r="G154" s="1">
        <v>141.9255</v>
      </c>
      <c r="H154">
        <v>149</v>
      </c>
      <c r="I154">
        <v>133.06489999999999</v>
      </c>
    </row>
    <row r="155" spans="6:9" x14ac:dyDescent="0.3">
      <c r="F155">
        <v>150</v>
      </c>
      <c r="G155">
        <v>137</v>
      </c>
      <c r="H155">
        <v>150</v>
      </c>
      <c r="I155">
        <v>129.05189999999999</v>
      </c>
    </row>
    <row r="156" spans="6:9" x14ac:dyDescent="0.3">
      <c r="F156">
        <v>151</v>
      </c>
      <c r="G156">
        <v>140.8758</v>
      </c>
      <c r="H156">
        <v>151</v>
      </c>
      <c r="I156">
        <v>129.03899999999999</v>
      </c>
    </row>
    <row r="157" spans="6:9" x14ac:dyDescent="0.3">
      <c r="F157">
        <v>152</v>
      </c>
      <c r="G157">
        <v>133</v>
      </c>
      <c r="H157">
        <v>152</v>
      </c>
      <c r="I157">
        <v>125.026</v>
      </c>
    </row>
    <row r="158" spans="6:9" x14ac:dyDescent="0.3">
      <c r="F158">
        <v>153</v>
      </c>
      <c r="G158">
        <v>137.9503</v>
      </c>
      <c r="H158">
        <v>153</v>
      </c>
      <c r="I158">
        <v>128.97399999999999</v>
      </c>
    </row>
    <row r="159" spans="6:9" x14ac:dyDescent="0.3">
      <c r="F159">
        <v>154</v>
      </c>
      <c r="G159">
        <v>132.91300000000001</v>
      </c>
      <c r="H159">
        <v>154</v>
      </c>
      <c r="I159">
        <v>123</v>
      </c>
    </row>
    <row r="160" spans="6:9" x14ac:dyDescent="0.3">
      <c r="F160">
        <v>155</v>
      </c>
      <c r="G160">
        <v>136.96270000000001</v>
      </c>
    </row>
    <row r="161" spans="6:7" x14ac:dyDescent="0.3">
      <c r="F161">
        <v>156</v>
      </c>
      <c r="G161">
        <v>128.96889999999999</v>
      </c>
    </row>
    <row r="162" spans="6:7" x14ac:dyDescent="0.3">
      <c r="F162">
        <v>157</v>
      </c>
      <c r="G162">
        <v>129.0745</v>
      </c>
    </row>
    <row r="163" spans="6:7" x14ac:dyDescent="0.3">
      <c r="F163">
        <v>158</v>
      </c>
      <c r="G163">
        <v>129.03729999999999</v>
      </c>
    </row>
    <row r="164" spans="6:7" x14ac:dyDescent="0.3">
      <c r="F164">
        <v>159</v>
      </c>
      <c r="G164">
        <v>131</v>
      </c>
    </row>
    <row r="165" spans="6:7" x14ac:dyDescent="0.3">
      <c r="F165">
        <v>160</v>
      </c>
      <c r="G165">
        <v>129</v>
      </c>
    </row>
    <row r="166" spans="6:7" x14ac:dyDescent="0.3">
      <c r="F166">
        <v>161</v>
      </c>
      <c r="G166">
        <v>129</v>
      </c>
    </row>
  </sheetData>
  <mergeCells count="24">
    <mergeCell ref="K19:L19"/>
    <mergeCell ref="K20:L20"/>
    <mergeCell ref="N20:O20"/>
    <mergeCell ref="Q20:R20"/>
    <mergeCell ref="K14:L14"/>
    <mergeCell ref="K15:L15"/>
    <mergeCell ref="N15:O15"/>
    <mergeCell ref="Q15:R15"/>
    <mergeCell ref="K17:L17"/>
    <mergeCell ref="K18:L18"/>
    <mergeCell ref="N18:O18"/>
    <mergeCell ref="Q18:R18"/>
    <mergeCell ref="N10:O10"/>
    <mergeCell ref="Q10:R10"/>
    <mergeCell ref="K12:L12"/>
    <mergeCell ref="K13:L13"/>
    <mergeCell ref="N13:O13"/>
    <mergeCell ref="Q13:R13"/>
    <mergeCell ref="A3:B3"/>
    <mergeCell ref="C3:D3"/>
    <mergeCell ref="A1:D1"/>
    <mergeCell ref="F1:I1"/>
    <mergeCell ref="F3:G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2CF2-058E-40F6-B502-686B54AEC316}">
  <dimension ref="A1:R190"/>
  <sheetViews>
    <sheetView topLeftCell="B1" zoomScaleNormal="100" workbookViewId="0">
      <selection activeCell="O23" sqref="O23"/>
    </sheetView>
  </sheetViews>
  <sheetFormatPr defaultRowHeight="14.4" x14ac:dyDescent="0.3"/>
  <cols>
    <col min="1" max="1" width="16.5546875" customWidth="1"/>
    <col min="2" max="2" width="13" customWidth="1"/>
    <col min="3" max="3" width="17.44140625" customWidth="1"/>
    <col min="4" max="4" width="13" customWidth="1"/>
    <col min="6" max="6" width="17.33203125" customWidth="1"/>
    <col min="7" max="7" width="13.33203125" customWidth="1"/>
    <col min="8" max="8" width="17.44140625" customWidth="1"/>
    <col min="9" max="9" width="12" customWidth="1"/>
    <col min="11" max="11" width="15.5546875" customWidth="1"/>
    <col min="12" max="12" width="17.44140625" customWidth="1"/>
    <col min="13" max="13" width="5.109375" customWidth="1"/>
    <col min="16" max="16" width="5" customWidth="1"/>
  </cols>
  <sheetData>
    <row r="1" spans="1:18" x14ac:dyDescent="0.3">
      <c r="A1" s="22" t="s">
        <v>26</v>
      </c>
      <c r="B1" s="22"/>
      <c r="C1" s="22"/>
      <c r="D1" s="22"/>
      <c r="F1" s="22" t="s">
        <v>27</v>
      </c>
      <c r="G1" s="22"/>
      <c r="H1" s="22"/>
      <c r="I1" s="22"/>
    </row>
    <row r="3" spans="1:18" x14ac:dyDescent="0.3">
      <c r="A3" s="17" t="s">
        <v>15</v>
      </c>
      <c r="B3" s="17"/>
      <c r="C3" s="17" t="s">
        <v>16</v>
      </c>
      <c r="D3" s="17"/>
      <c r="F3" s="17" t="s">
        <v>15</v>
      </c>
      <c r="G3" s="17"/>
      <c r="H3" s="17" t="s">
        <v>16</v>
      </c>
      <c r="I3" s="17"/>
    </row>
    <row r="4" spans="1:18" x14ac:dyDescent="0.3">
      <c r="A4" t="s">
        <v>0</v>
      </c>
      <c r="B4" t="s">
        <v>1</v>
      </c>
      <c r="C4" t="s">
        <v>0</v>
      </c>
      <c r="D4" t="s">
        <v>1</v>
      </c>
      <c r="F4" t="s">
        <v>0</v>
      </c>
      <c r="G4" t="s">
        <v>1</v>
      </c>
      <c r="H4" t="s">
        <v>0</v>
      </c>
      <c r="I4" t="s">
        <v>1</v>
      </c>
    </row>
    <row r="5" spans="1:18" x14ac:dyDescent="0.3">
      <c r="A5">
        <v>0</v>
      </c>
      <c r="B5">
        <v>122</v>
      </c>
      <c r="C5">
        <v>0</v>
      </c>
      <c r="D5">
        <v>128</v>
      </c>
      <c r="F5">
        <v>0</v>
      </c>
      <c r="G5">
        <v>119</v>
      </c>
      <c r="H5">
        <v>0</v>
      </c>
      <c r="I5">
        <v>122</v>
      </c>
    </row>
    <row r="6" spans="1:18" x14ac:dyDescent="0.3">
      <c r="A6">
        <v>1</v>
      </c>
      <c r="B6">
        <v>122</v>
      </c>
      <c r="C6">
        <v>1</v>
      </c>
      <c r="D6">
        <v>128</v>
      </c>
      <c r="F6">
        <v>1</v>
      </c>
      <c r="G6">
        <v>120</v>
      </c>
      <c r="H6">
        <v>1</v>
      </c>
      <c r="I6">
        <v>122</v>
      </c>
      <c r="K6" s="2"/>
      <c r="L6" t="s">
        <v>14</v>
      </c>
    </row>
    <row r="7" spans="1:18" x14ac:dyDescent="0.3">
      <c r="A7">
        <v>2</v>
      </c>
      <c r="B7">
        <v>122</v>
      </c>
      <c r="C7" s="9">
        <v>2</v>
      </c>
      <c r="D7" s="9">
        <v>128</v>
      </c>
      <c r="F7">
        <v>2</v>
      </c>
      <c r="G7">
        <v>121</v>
      </c>
      <c r="H7">
        <v>2</v>
      </c>
      <c r="I7">
        <v>124</v>
      </c>
    </row>
    <row r="8" spans="1:18" x14ac:dyDescent="0.3">
      <c r="A8">
        <v>3</v>
      </c>
      <c r="B8">
        <v>122</v>
      </c>
      <c r="C8">
        <v>3</v>
      </c>
      <c r="D8">
        <v>127.9676</v>
      </c>
      <c r="F8">
        <v>3</v>
      </c>
      <c r="G8">
        <v>120</v>
      </c>
      <c r="H8">
        <v>3</v>
      </c>
      <c r="I8">
        <v>125.9676</v>
      </c>
      <c r="K8" s="3"/>
      <c r="L8" t="s">
        <v>13</v>
      </c>
    </row>
    <row r="9" spans="1:18" x14ac:dyDescent="0.3">
      <c r="A9" s="9">
        <v>4</v>
      </c>
      <c r="B9" s="9">
        <v>122</v>
      </c>
      <c r="C9">
        <v>4</v>
      </c>
      <c r="D9">
        <v>125</v>
      </c>
      <c r="F9">
        <v>4</v>
      </c>
      <c r="G9">
        <v>120</v>
      </c>
      <c r="H9">
        <v>4</v>
      </c>
      <c r="I9">
        <v>126</v>
      </c>
    </row>
    <row r="10" spans="1:18" x14ac:dyDescent="0.3">
      <c r="A10">
        <v>5</v>
      </c>
      <c r="B10">
        <v>122</v>
      </c>
      <c r="C10">
        <v>5</v>
      </c>
      <c r="D10">
        <v>125</v>
      </c>
      <c r="F10">
        <v>5</v>
      </c>
      <c r="G10">
        <v>121</v>
      </c>
      <c r="H10">
        <v>5</v>
      </c>
      <c r="I10">
        <v>125</v>
      </c>
      <c r="N10" s="17" t="s">
        <v>17</v>
      </c>
      <c r="O10" s="17"/>
      <c r="P10" s="5"/>
      <c r="Q10" s="17" t="s">
        <v>18</v>
      </c>
      <c r="R10" s="17"/>
    </row>
    <row r="11" spans="1:18" x14ac:dyDescent="0.3">
      <c r="A11">
        <v>6</v>
      </c>
      <c r="B11">
        <v>122</v>
      </c>
      <c r="C11">
        <v>6</v>
      </c>
      <c r="D11">
        <v>125</v>
      </c>
      <c r="F11">
        <v>6</v>
      </c>
      <c r="G11">
        <v>118</v>
      </c>
      <c r="H11">
        <v>6</v>
      </c>
      <c r="I11">
        <v>125</v>
      </c>
      <c r="N11" s="6" t="s">
        <v>20</v>
      </c>
      <c r="O11" s="6" t="s">
        <v>19</v>
      </c>
      <c r="P11" s="6"/>
      <c r="Q11" s="6" t="s">
        <v>20</v>
      </c>
      <c r="R11" s="6" t="s">
        <v>19</v>
      </c>
    </row>
    <row r="12" spans="1:18" x14ac:dyDescent="0.3">
      <c r="A12">
        <v>7</v>
      </c>
      <c r="B12">
        <v>122</v>
      </c>
      <c r="C12">
        <v>7</v>
      </c>
      <c r="D12">
        <v>125</v>
      </c>
      <c r="F12">
        <v>7</v>
      </c>
      <c r="G12">
        <v>120</v>
      </c>
      <c r="H12">
        <v>7</v>
      </c>
      <c r="I12">
        <v>121.9243</v>
      </c>
      <c r="K12" s="18" t="s">
        <v>26</v>
      </c>
      <c r="L12" s="20"/>
      <c r="M12" s="6"/>
      <c r="N12" s="6">
        <f>AVERAGE(B39,B149)</f>
        <v>130.80664999999999</v>
      </c>
      <c r="O12" s="6">
        <v>60</v>
      </c>
      <c r="P12" s="6"/>
      <c r="Q12" s="6">
        <f>AVERAGE(D41,D147)</f>
        <v>131.76755</v>
      </c>
      <c r="R12" s="6">
        <v>60</v>
      </c>
    </row>
    <row r="13" spans="1:18" x14ac:dyDescent="0.3">
      <c r="A13">
        <v>8</v>
      </c>
      <c r="B13">
        <v>121</v>
      </c>
      <c r="C13">
        <v>8</v>
      </c>
      <c r="D13">
        <v>125</v>
      </c>
      <c r="F13">
        <v>8</v>
      </c>
      <c r="G13">
        <v>121</v>
      </c>
      <c r="H13">
        <v>8</v>
      </c>
      <c r="I13">
        <v>121.0865</v>
      </c>
      <c r="K13" s="19" t="s">
        <v>22</v>
      </c>
      <c r="L13" s="19"/>
      <c r="M13" s="6"/>
      <c r="N13" s="19">
        <f>AVERAGE(N12,O12)</f>
        <v>95.403324999999995</v>
      </c>
      <c r="O13" s="19"/>
      <c r="P13" s="6"/>
      <c r="Q13" s="19">
        <f>AVERAGE(Q12,R12)</f>
        <v>95.883775</v>
      </c>
      <c r="R13" s="19"/>
    </row>
    <row r="14" spans="1:18" x14ac:dyDescent="0.3">
      <c r="A14">
        <v>9</v>
      </c>
      <c r="B14">
        <v>121</v>
      </c>
      <c r="C14">
        <v>9</v>
      </c>
      <c r="D14">
        <v>125</v>
      </c>
      <c r="F14">
        <v>9</v>
      </c>
      <c r="G14">
        <v>122.14919999999999</v>
      </c>
      <c r="H14">
        <v>9</v>
      </c>
      <c r="I14">
        <v>126.0973</v>
      </c>
      <c r="K14" s="19" t="s">
        <v>21</v>
      </c>
      <c r="L14" s="19"/>
      <c r="M14" s="6"/>
      <c r="N14" s="6">
        <v>55</v>
      </c>
      <c r="O14" s="6">
        <v>128</v>
      </c>
      <c r="P14" s="6"/>
      <c r="Q14" s="6">
        <v>55</v>
      </c>
      <c r="R14" s="6">
        <v>125</v>
      </c>
    </row>
    <row r="15" spans="1:18" x14ac:dyDescent="0.3">
      <c r="A15">
        <v>10</v>
      </c>
      <c r="B15">
        <v>122</v>
      </c>
      <c r="C15">
        <v>10</v>
      </c>
      <c r="D15">
        <v>126</v>
      </c>
      <c r="F15">
        <v>10</v>
      </c>
      <c r="G15">
        <v>123</v>
      </c>
      <c r="H15">
        <v>10</v>
      </c>
      <c r="I15">
        <v>126.10809999999999</v>
      </c>
      <c r="K15" s="21" t="s">
        <v>23</v>
      </c>
      <c r="L15" s="21"/>
      <c r="M15" s="5"/>
      <c r="N15" s="21">
        <f>(O14-N14)</f>
        <v>73</v>
      </c>
      <c r="O15" s="21"/>
      <c r="P15" s="5"/>
      <c r="Q15" s="21">
        <f>(R14-Q14)</f>
        <v>70</v>
      </c>
      <c r="R15" s="21"/>
    </row>
    <row r="16" spans="1:18" x14ac:dyDescent="0.3">
      <c r="A16">
        <v>11</v>
      </c>
      <c r="B16">
        <v>121</v>
      </c>
      <c r="C16">
        <v>11</v>
      </c>
      <c r="D16">
        <v>126</v>
      </c>
      <c r="F16">
        <v>11</v>
      </c>
      <c r="G16">
        <v>125</v>
      </c>
      <c r="H16">
        <v>11</v>
      </c>
      <c r="I16">
        <v>125.1189</v>
      </c>
      <c r="N16" s="6"/>
      <c r="O16" s="6"/>
      <c r="P16" s="6"/>
      <c r="Q16" s="6"/>
      <c r="R16" s="6"/>
    </row>
    <row r="17" spans="1:18" x14ac:dyDescent="0.3">
      <c r="A17">
        <v>12</v>
      </c>
      <c r="B17">
        <v>121</v>
      </c>
      <c r="C17">
        <v>12</v>
      </c>
      <c r="D17">
        <v>126</v>
      </c>
      <c r="F17">
        <v>12</v>
      </c>
      <c r="G17">
        <v>125</v>
      </c>
      <c r="H17">
        <v>12</v>
      </c>
      <c r="I17">
        <v>129.12970000000001</v>
      </c>
      <c r="K17" s="18" t="s">
        <v>27</v>
      </c>
      <c r="L17" s="20"/>
      <c r="M17" s="6"/>
      <c r="N17" s="6">
        <f>AVERAGE(G25,G166)</f>
        <v>132.66575</v>
      </c>
      <c r="O17" s="6">
        <v>102</v>
      </c>
      <c r="P17" s="6"/>
      <c r="Q17" s="6">
        <f>AVERAGE(I25,I160)</f>
        <v>132.33785</v>
      </c>
      <c r="R17" s="6">
        <v>102</v>
      </c>
    </row>
    <row r="18" spans="1:18" x14ac:dyDescent="0.3">
      <c r="A18">
        <v>13</v>
      </c>
      <c r="B18">
        <v>121</v>
      </c>
      <c r="C18">
        <v>13</v>
      </c>
      <c r="D18">
        <v>126</v>
      </c>
      <c r="F18">
        <v>13</v>
      </c>
      <c r="G18">
        <v>126</v>
      </c>
      <c r="H18">
        <v>13</v>
      </c>
      <c r="I18">
        <v>128.1405</v>
      </c>
      <c r="K18" s="19" t="s">
        <v>22</v>
      </c>
      <c r="L18" s="19"/>
      <c r="M18" s="6"/>
      <c r="N18" s="19">
        <f>AVERAGE(N17,O17)</f>
        <v>117.332875</v>
      </c>
      <c r="O18" s="19"/>
      <c r="P18" s="6"/>
      <c r="Q18" s="19">
        <f>AVERAGE(Q17,R17)</f>
        <v>117.168925</v>
      </c>
      <c r="R18" s="19"/>
    </row>
    <row r="19" spans="1:18" x14ac:dyDescent="0.3">
      <c r="A19">
        <v>14</v>
      </c>
      <c r="B19">
        <v>122</v>
      </c>
      <c r="C19">
        <v>14</v>
      </c>
      <c r="D19">
        <v>126</v>
      </c>
      <c r="F19">
        <v>14</v>
      </c>
      <c r="G19">
        <v>128</v>
      </c>
      <c r="H19" s="9">
        <v>14</v>
      </c>
      <c r="I19" s="9">
        <v>126</v>
      </c>
      <c r="K19" s="19" t="s">
        <v>21</v>
      </c>
      <c r="L19" s="19"/>
      <c r="M19" s="6"/>
      <c r="N19" s="6">
        <v>41</v>
      </c>
      <c r="O19" s="6">
        <v>144</v>
      </c>
      <c r="P19" s="6"/>
      <c r="Q19" s="6">
        <v>41</v>
      </c>
      <c r="R19" s="6">
        <v>142</v>
      </c>
    </row>
    <row r="20" spans="1:18" x14ac:dyDescent="0.3">
      <c r="A20">
        <v>15</v>
      </c>
      <c r="B20">
        <v>122</v>
      </c>
      <c r="C20">
        <v>15</v>
      </c>
      <c r="D20">
        <v>126</v>
      </c>
      <c r="F20">
        <v>15</v>
      </c>
      <c r="G20">
        <v>127</v>
      </c>
      <c r="H20">
        <v>15</v>
      </c>
      <c r="I20">
        <v>126</v>
      </c>
      <c r="K20" s="21" t="s">
        <v>23</v>
      </c>
      <c r="L20" s="21"/>
      <c r="M20" s="5"/>
      <c r="N20" s="21">
        <f>(O19-N19)</f>
        <v>103</v>
      </c>
      <c r="O20" s="21"/>
      <c r="P20" s="5"/>
      <c r="Q20" s="21">
        <f>(R19-Q19)</f>
        <v>101</v>
      </c>
      <c r="R20" s="21"/>
    </row>
    <row r="21" spans="1:18" x14ac:dyDescent="0.3">
      <c r="A21">
        <v>16</v>
      </c>
      <c r="B21">
        <v>122</v>
      </c>
      <c r="C21">
        <v>16</v>
      </c>
      <c r="D21">
        <v>126</v>
      </c>
      <c r="F21">
        <v>16</v>
      </c>
      <c r="G21">
        <v>127</v>
      </c>
      <c r="H21">
        <v>16</v>
      </c>
      <c r="I21">
        <v>127</v>
      </c>
    </row>
    <row r="22" spans="1:18" x14ac:dyDescent="0.3">
      <c r="A22">
        <v>17</v>
      </c>
      <c r="B22">
        <v>122</v>
      </c>
      <c r="C22">
        <v>17</v>
      </c>
      <c r="D22">
        <v>125</v>
      </c>
      <c r="F22" s="9">
        <v>17</v>
      </c>
      <c r="G22" s="9">
        <v>128</v>
      </c>
      <c r="H22">
        <v>17</v>
      </c>
      <c r="I22">
        <v>128</v>
      </c>
    </row>
    <row r="23" spans="1:18" x14ac:dyDescent="0.3">
      <c r="A23">
        <v>18</v>
      </c>
      <c r="B23">
        <v>122</v>
      </c>
      <c r="C23">
        <v>18</v>
      </c>
      <c r="D23">
        <v>125</v>
      </c>
      <c r="F23">
        <v>18</v>
      </c>
      <c r="G23">
        <v>129</v>
      </c>
      <c r="H23">
        <v>18</v>
      </c>
      <c r="I23">
        <v>128</v>
      </c>
    </row>
    <row r="24" spans="1:18" x14ac:dyDescent="0.3">
      <c r="A24">
        <v>19</v>
      </c>
      <c r="B24">
        <v>122.31489999999999</v>
      </c>
      <c r="C24">
        <v>19</v>
      </c>
      <c r="D24">
        <v>125</v>
      </c>
      <c r="F24">
        <v>19</v>
      </c>
      <c r="G24">
        <v>127.6298</v>
      </c>
      <c r="H24">
        <v>19</v>
      </c>
      <c r="I24">
        <v>131</v>
      </c>
    </row>
    <row r="25" spans="1:18" x14ac:dyDescent="0.3">
      <c r="A25">
        <v>20</v>
      </c>
      <c r="B25">
        <v>121.663</v>
      </c>
      <c r="C25">
        <v>20</v>
      </c>
      <c r="D25">
        <v>124</v>
      </c>
      <c r="F25" s="2">
        <v>20</v>
      </c>
      <c r="G25" s="2">
        <v>129.66300000000001</v>
      </c>
      <c r="H25" s="2">
        <v>20</v>
      </c>
      <c r="I25" s="2">
        <v>132</v>
      </c>
    </row>
    <row r="26" spans="1:18" x14ac:dyDescent="0.3">
      <c r="A26">
        <v>21</v>
      </c>
      <c r="B26">
        <v>121.6961</v>
      </c>
      <c r="C26">
        <v>21</v>
      </c>
      <c r="D26">
        <v>124</v>
      </c>
      <c r="F26">
        <v>21</v>
      </c>
      <c r="G26">
        <v>128.65190000000001</v>
      </c>
      <c r="H26">
        <v>21</v>
      </c>
      <c r="I26">
        <v>131</v>
      </c>
    </row>
    <row r="27" spans="1:18" x14ac:dyDescent="0.3">
      <c r="A27">
        <v>22</v>
      </c>
      <c r="B27">
        <v>121.72929999999999</v>
      </c>
      <c r="C27">
        <v>22</v>
      </c>
      <c r="D27">
        <v>124.23779999999999</v>
      </c>
      <c r="F27">
        <v>22</v>
      </c>
      <c r="G27">
        <v>127.27070000000001</v>
      </c>
      <c r="H27">
        <v>22</v>
      </c>
      <c r="I27">
        <v>130</v>
      </c>
    </row>
    <row r="28" spans="1:18" x14ac:dyDescent="0.3">
      <c r="A28">
        <v>23</v>
      </c>
      <c r="B28">
        <v>121.7624</v>
      </c>
      <c r="C28">
        <v>23</v>
      </c>
      <c r="D28">
        <v>124.2486</v>
      </c>
      <c r="F28">
        <v>23</v>
      </c>
      <c r="G28">
        <v>127</v>
      </c>
      <c r="H28">
        <v>23</v>
      </c>
      <c r="I28">
        <v>130</v>
      </c>
    </row>
    <row r="29" spans="1:18" x14ac:dyDescent="0.3">
      <c r="A29">
        <v>24</v>
      </c>
      <c r="B29">
        <v>121.79559999999999</v>
      </c>
      <c r="C29">
        <v>24</v>
      </c>
      <c r="D29">
        <v>124.2595</v>
      </c>
      <c r="F29">
        <v>24</v>
      </c>
      <c r="G29">
        <v>125.6022</v>
      </c>
      <c r="H29">
        <v>24</v>
      </c>
      <c r="I29">
        <v>128</v>
      </c>
    </row>
    <row r="30" spans="1:18" x14ac:dyDescent="0.3">
      <c r="A30">
        <v>25</v>
      </c>
      <c r="B30">
        <v>121.8287</v>
      </c>
      <c r="C30">
        <v>25</v>
      </c>
      <c r="D30">
        <v>124.27030000000001</v>
      </c>
      <c r="F30">
        <v>25</v>
      </c>
      <c r="G30">
        <v>124.5856</v>
      </c>
      <c r="H30">
        <v>25</v>
      </c>
      <c r="I30">
        <v>127.27030000000001</v>
      </c>
    </row>
    <row r="31" spans="1:18" x14ac:dyDescent="0.3">
      <c r="A31">
        <v>26</v>
      </c>
      <c r="B31">
        <v>121.86190000000001</v>
      </c>
      <c r="C31">
        <v>26</v>
      </c>
      <c r="D31">
        <v>124.2811</v>
      </c>
      <c r="F31">
        <v>26</v>
      </c>
      <c r="G31">
        <v>125.56910000000001</v>
      </c>
      <c r="H31">
        <v>26</v>
      </c>
      <c r="I31">
        <v>127</v>
      </c>
    </row>
    <row r="32" spans="1:18" x14ac:dyDescent="0.3">
      <c r="A32">
        <v>27</v>
      </c>
      <c r="B32">
        <v>121.44750000000001</v>
      </c>
      <c r="C32">
        <v>27</v>
      </c>
      <c r="D32">
        <v>124.2919</v>
      </c>
      <c r="F32">
        <v>27</v>
      </c>
      <c r="G32">
        <v>124</v>
      </c>
      <c r="H32">
        <v>27</v>
      </c>
      <c r="I32">
        <v>126.7081</v>
      </c>
    </row>
    <row r="33" spans="1:9" x14ac:dyDescent="0.3">
      <c r="A33">
        <v>28</v>
      </c>
      <c r="B33">
        <v>122</v>
      </c>
      <c r="C33">
        <v>28</v>
      </c>
      <c r="D33">
        <v>124.3027</v>
      </c>
      <c r="F33">
        <v>28</v>
      </c>
      <c r="G33">
        <v>123.4641</v>
      </c>
      <c r="H33">
        <v>28</v>
      </c>
      <c r="I33">
        <v>127</v>
      </c>
    </row>
    <row r="34" spans="1:9" x14ac:dyDescent="0.3">
      <c r="A34">
        <v>29</v>
      </c>
      <c r="B34">
        <v>122</v>
      </c>
      <c r="C34">
        <v>29</v>
      </c>
      <c r="D34">
        <v>124.3135</v>
      </c>
      <c r="F34">
        <v>29</v>
      </c>
      <c r="G34">
        <v>124.03870000000001</v>
      </c>
      <c r="H34">
        <v>29</v>
      </c>
      <c r="I34">
        <v>125</v>
      </c>
    </row>
    <row r="35" spans="1:9" x14ac:dyDescent="0.3">
      <c r="A35">
        <v>30</v>
      </c>
      <c r="B35">
        <v>120</v>
      </c>
      <c r="C35">
        <v>30</v>
      </c>
      <c r="D35">
        <v>123.32429999999999</v>
      </c>
      <c r="F35">
        <v>30</v>
      </c>
      <c r="G35">
        <v>123.50279999999999</v>
      </c>
      <c r="H35">
        <v>30</v>
      </c>
      <c r="I35">
        <v>125</v>
      </c>
    </row>
    <row r="36" spans="1:9" x14ac:dyDescent="0.3">
      <c r="A36">
        <v>31</v>
      </c>
      <c r="B36">
        <v>121</v>
      </c>
      <c r="C36">
        <v>31</v>
      </c>
      <c r="D36">
        <v>123.3351</v>
      </c>
      <c r="F36">
        <v>31</v>
      </c>
      <c r="G36">
        <v>122.4862</v>
      </c>
      <c r="H36">
        <v>31</v>
      </c>
      <c r="I36">
        <v>124.6649</v>
      </c>
    </row>
    <row r="37" spans="1:9" x14ac:dyDescent="0.3">
      <c r="A37">
        <v>32</v>
      </c>
      <c r="B37">
        <v>123</v>
      </c>
      <c r="C37">
        <v>32</v>
      </c>
      <c r="D37">
        <v>124</v>
      </c>
      <c r="F37">
        <v>32</v>
      </c>
      <c r="G37">
        <v>122</v>
      </c>
      <c r="H37">
        <v>32</v>
      </c>
      <c r="I37">
        <v>124.6541</v>
      </c>
    </row>
    <row r="38" spans="1:9" x14ac:dyDescent="0.3">
      <c r="A38">
        <v>33</v>
      </c>
      <c r="B38">
        <v>124</v>
      </c>
      <c r="C38">
        <v>33</v>
      </c>
      <c r="D38">
        <v>126.64319999999999</v>
      </c>
      <c r="F38">
        <v>33</v>
      </c>
      <c r="G38">
        <v>121.453</v>
      </c>
      <c r="H38">
        <v>33</v>
      </c>
      <c r="I38">
        <v>123</v>
      </c>
    </row>
    <row r="39" spans="1:9" x14ac:dyDescent="0.3">
      <c r="A39" s="2">
        <v>34</v>
      </c>
      <c r="B39" s="2">
        <v>128</v>
      </c>
      <c r="C39">
        <v>34</v>
      </c>
      <c r="D39">
        <v>125.3676</v>
      </c>
      <c r="F39">
        <v>34</v>
      </c>
      <c r="G39">
        <v>121</v>
      </c>
      <c r="H39">
        <v>34</v>
      </c>
      <c r="I39">
        <v>123</v>
      </c>
    </row>
    <row r="40" spans="1:9" x14ac:dyDescent="0.3">
      <c r="A40">
        <v>35</v>
      </c>
      <c r="B40">
        <v>128.1602</v>
      </c>
      <c r="C40">
        <v>35</v>
      </c>
      <c r="D40">
        <v>128.3784</v>
      </c>
      <c r="F40">
        <v>35</v>
      </c>
      <c r="G40">
        <v>119</v>
      </c>
      <c r="H40">
        <v>35</v>
      </c>
      <c r="I40">
        <v>123</v>
      </c>
    </row>
    <row r="41" spans="1:9" x14ac:dyDescent="0.3">
      <c r="A41">
        <v>36</v>
      </c>
      <c r="B41">
        <v>124</v>
      </c>
      <c r="C41" s="2">
        <v>36</v>
      </c>
      <c r="D41" s="2">
        <v>129</v>
      </c>
      <c r="F41">
        <v>36</v>
      </c>
      <c r="G41">
        <v>119.5967</v>
      </c>
      <c r="H41">
        <v>36</v>
      </c>
      <c r="I41">
        <v>122</v>
      </c>
    </row>
    <row r="42" spans="1:9" x14ac:dyDescent="0.3">
      <c r="A42">
        <v>37</v>
      </c>
      <c r="B42">
        <v>122</v>
      </c>
      <c r="C42">
        <v>37</v>
      </c>
      <c r="D42">
        <v>129</v>
      </c>
      <c r="F42">
        <v>37</v>
      </c>
      <c r="G42">
        <v>120</v>
      </c>
      <c r="H42">
        <v>37</v>
      </c>
      <c r="I42">
        <v>120</v>
      </c>
    </row>
    <row r="43" spans="1:9" x14ac:dyDescent="0.3">
      <c r="A43">
        <v>38</v>
      </c>
      <c r="B43">
        <v>123.3702</v>
      </c>
      <c r="C43">
        <v>38</v>
      </c>
      <c r="D43">
        <v>128</v>
      </c>
      <c r="F43">
        <v>38</v>
      </c>
      <c r="G43">
        <v>119</v>
      </c>
      <c r="H43">
        <v>38</v>
      </c>
      <c r="I43">
        <v>119</v>
      </c>
    </row>
    <row r="44" spans="1:9" x14ac:dyDescent="0.3">
      <c r="A44">
        <v>39</v>
      </c>
      <c r="B44">
        <v>123</v>
      </c>
      <c r="C44">
        <v>39</v>
      </c>
      <c r="D44">
        <v>126</v>
      </c>
      <c r="F44">
        <v>39</v>
      </c>
      <c r="G44">
        <v>118</v>
      </c>
      <c r="H44">
        <v>39</v>
      </c>
      <c r="I44">
        <v>119.4216</v>
      </c>
    </row>
    <row r="45" spans="1:9" x14ac:dyDescent="0.3">
      <c r="A45">
        <v>40</v>
      </c>
      <c r="B45">
        <v>124</v>
      </c>
      <c r="C45">
        <v>40</v>
      </c>
      <c r="D45">
        <v>126</v>
      </c>
      <c r="F45">
        <v>40</v>
      </c>
      <c r="G45">
        <v>117.663</v>
      </c>
      <c r="H45">
        <v>40</v>
      </c>
      <c r="I45">
        <v>118.4324</v>
      </c>
    </row>
    <row r="46" spans="1:9" x14ac:dyDescent="0.3">
      <c r="A46">
        <v>41</v>
      </c>
      <c r="B46">
        <v>123</v>
      </c>
      <c r="C46">
        <v>41</v>
      </c>
      <c r="D46">
        <v>126</v>
      </c>
      <c r="F46">
        <v>41</v>
      </c>
      <c r="G46">
        <v>117</v>
      </c>
      <c r="H46">
        <v>41</v>
      </c>
      <c r="I46">
        <v>117.4432</v>
      </c>
    </row>
    <row r="47" spans="1:9" x14ac:dyDescent="0.3">
      <c r="A47">
        <v>42</v>
      </c>
      <c r="B47">
        <v>123</v>
      </c>
      <c r="C47">
        <v>42</v>
      </c>
      <c r="D47">
        <v>125.0919</v>
      </c>
      <c r="F47">
        <v>42</v>
      </c>
      <c r="G47">
        <v>116</v>
      </c>
      <c r="H47">
        <v>42</v>
      </c>
      <c r="I47">
        <v>117.4541</v>
      </c>
    </row>
    <row r="48" spans="1:9" x14ac:dyDescent="0.3">
      <c r="A48">
        <v>43</v>
      </c>
      <c r="B48">
        <v>120</v>
      </c>
      <c r="C48">
        <v>43</v>
      </c>
      <c r="D48">
        <v>125.5351</v>
      </c>
      <c r="F48">
        <v>43</v>
      </c>
      <c r="G48">
        <v>115</v>
      </c>
      <c r="H48">
        <v>43</v>
      </c>
      <c r="I48">
        <v>116</v>
      </c>
    </row>
    <row r="49" spans="1:9" x14ac:dyDescent="0.3">
      <c r="A49">
        <v>44</v>
      </c>
      <c r="B49">
        <v>117</v>
      </c>
      <c r="C49">
        <v>44</v>
      </c>
      <c r="D49">
        <v>127.5243</v>
      </c>
      <c r="F49">
        <v>44</v>
      </c>
      <c r="G49">
        <v>115</v>
      </c>
      <c r="H49">
        <v>44</v>
      </c>
      <c r="I49">
        <v>115</v>
      </c>
    </row>
    <row r="50" spans="1:9" x14ac:dyDescent="0.3">
      <c r="A50">
        <v>45</v>
      </c>
      <c r="B50">
        <v>116.74590000000001</v>
      </c>
      <c r="C50">
        <v>45</v>
      </c>
      <c r="D50">
        <v>124</v>
      </c>
      <c r="F50">
        <v>45</v>
      </c>
      <c r="G50">
        <v>117</v>
      </c>
      <c r="H50">
        <v>45</v>
      </c>
      <c r="I50">
        <v>114.48650000000001</v>
      </c>
    </row>
    <row r="51" spans="1:9" x14ac:dyDescent="0.3">
      <c r="A51">
        <v>46</v>
      </c>
      <c r="B51">
        <v>116.5249</v>
      </c>
      <c r="C51">
        <v>46</v>
      </c>
      <c r="D51">
        <v>121</v>
      </c>
      <c r="F51">
        <v>46</v>
      </c>
      <c r="G51">
        <v>116.2376</v>
      </c>
      <c r="H51">
        <v>46</v>
      </c>
      <c r="I51">
        <v>113</v>
      </c>
    </row>
    <row r="52" spans="1:9" x14ac:dyDescent="0.3">
      <c r="A52">
        <v>47</v>
      </c>
      <c r="B52">
        <v>115.779</v>
      </c>
      <c r="C52">
        <v>47</v>
      </c>
      <c r="D52">
        <v>119</v>
      </c>
      <c r="F52">
        <v>47</v>
      </c>
      <c r="G52">
        <v>116.221</v>
      </c>
      <c r="H52">
        <v>47</v>
      </c>
      <c r="I52">
        <v>112</v>
      </c>
    </row>
    <row r="53" spans="1:9" x14ac:dyDescent="0.3">
      <c r="A53">
        <v>48</v>
      </c>
      <c r="B53">
        <v>111.79559999999999</v>
      </c>
      <c r="C53">
        <v>48</v>
      </c>
      <c r="D53">
        <v>114</v>
      </c>
      <c r="F53">
        <v>48</v>
      </c>
      <c r="G53">
        <v>116.20440000000001</v>
      </c>
      <c r="H53">
        <v>48</v>
      </c>
      <c r="I53">
        <v>111.5189</v>
      </c>
    </row>
    <row r="54" spans="1:9" x14ac:dyDescent="0.3">
      <c r="A54">
        <v>49</v>
      </c>
      <c r="B54">
        <v>108</v>
      </c>
      <c r="C54">
        <v>49</v>
      </c>
      <c r="D54">
        <v>111</v>
      </c>
      <c r="F54">
        <v>49</v>
      </c>
      <c r="G54">
        <v>115</v>
      </c>
      <c r="H54">
        <v>49</v>
      </c>
      <c r="I54">
        <v>110</v>
      </c>
    </row>
    <row r="55" spans="1:9" x14ac:dyDescent="0.3">
      <c r="A55">
        <v>50</v>
      </c>
      <c r="B55">
        <v>105.1713</v>
      </c>
      <c r="C55">
        <v>50</v>
      </c>
      <c r="D55">
        <v>106.54049999999999</v>
      </c>
      <c r="F55">
        <v>50</v>
      </c>
      <c r="G55">
        <v>115</v>
      </c>
      <c r="H55">
        <v>50</v>
      </c>
      <c r="I55">
        <v>109</v>
      </c>
    </row>
    <row r="56" spans="1:9" x14ac:dyDescent="0.3">
      <c r="A56">
        <v>51</v>
      </c>
      <c r="B56">
        <v>104.84529999999999</v>
      </c>
      <c r="C56">
        <v>51</v>
      </c>
      <c r="D56">
        <v>106</v>
      </c>
      <c r="F56">
        <v>51</v>
      </c>
      <c r="G56">
        <v>115</v>
      </c>
      <c r="H56">
        <v>51</v>
      </c>
      <c r="I56">
        <v>108.5514</v>
      </c>
    </row>
    <row r="57" spans="1:9" x14ac:dyDescent="0.3">
      <c r="A57">
        <v>52</v>
      </c>
      <c r="B57">
        <v>104.86190000000001</v>
      </c>
      <c r="C57">
        <v>52</v>
      </c>
      <c r="D57">
        <v>105</v>
      </c>
      <c r="F57">
        <v>52</v>
      </c>
      <c r="G57">
        <v>114</v>
      </c>
      <c r="H57">
        <v>52</v>
      </c>
      <c r="I57">
        <v>107.5622</v>
      </c>
    </row>
    <row r="58" spans="1:9" x14ac:dyDescent="0.3">
      <c r="A58">
        <v>53</v>
      </c>
      <c r="B58">
        <v>102</v>
      </c>
      <c r="C58">
        <v>53</v>
      </c>
      <c r="D58">
        <v>101.57299999999999</v>
      </c>
      <c r="F58">
        <v>53</v>
      </c>
      <c r="G58">
        <v>113</v>
      </c>
      <c r="H58">
        <v>53</v>
      </c>
      <c r="I58">
        <v>108</v>
      </c>
    </row>
    <row r="59" spans="1:9" x14ac:dyDescent="0.3">
      <c r="A59" s="9">
        <v>54</v>
      </c>
      <c r="B59" s="9">
        <v>97.419899999999998</v>
      </c>
      <c r="C59" s="9">
        <v>54</v>
      </c>
      <c r="D59" s="9">
        <v>102</v>
      </c>
      <c r="F59">
        <v>54</v>
      </c>
      <c r="G59">
        <v>113</v>
      </c>
      <c r="H59">
        <v>54</v>
      </c>
      <c r="I59">
        <v>109</v>
      </c>
    </row>
    <row r="60" spans="1:9" x14ac:dyDescent="0.3">
      <c r="A60">
        <v>55</v>
      </c>
      <c r="B60">
        <v>95.3536</v>
      </c>
      <c r="C60">
        <v>55</v>
      </c>
      <c r="D60">
        <v>96.4054</v>
      </c>
      <c r="F60">
        <v>55</v>
      </c>
      <c r="G60">
        <v>112.91160000000001</v>
      </c>
      <c r="H60">
        <v>55</v>
      </c>
      <c r="I60">
        <v>109</v>
      </c>
    </row>
    <row r="61" spans="1:9" x14ac:dyDescent="0.3">
      <c r="A61">
        <v>56</v>
      </c>
      <c r="B61">
        <v>94.215500000000006</v>
      </c>
      <c r="C61">
        <v>56</v>
      </c>
      <c r="D61">
        <v>91</v>
      </c>
      <c r="F61">
        <v>56</v>
      </c>
      <c r="G61">
        <v>111</v>
      </c>
      <c r="H61">
        <v>56</v>
      </c>
      <c r="I61">
        <v>108</v>
      </c>
    </row>
    <row r="62" spans="1:9" x14ac:dyDescent="0.3">
      <c r="A62">
        <v>57</v>
      </c>
      <c r="B62">
        <v>93.055300000000003</v>
      </c>
      <c r="C62">
        <v>57</v>
      </c>
      <c r="D62">
        <v>88</v>
      </c>
      <c r="F62">
        <v>57</v>
      </c>
      <c r="G62">
        <v>110</v>
      </c>
      <c r="H62">
        <v>57</v>
      </c>
      <c r="I62">
        <v>107</v>
      </c>
    </row>
    <row r="63" spans="1:9" x14ac:dyDescent="0.3">
      <c r="A63">
        <v>58</v>
      </c>
      <c r="B63">
        <v>93.038700000000006</v>
      </c>
      <c r="C63">
        <v>58</v>
      </c>
      <c r="D63">
        <v>86</v>
      </c>
      <c r="F63">
        <v>58</v>
      </c>
      <c r="G63">
        <v>110</v>
      </c>
      <c r="H63">
        <v>58</v>
      </c>
      <c r="I63">
        <v>107</v>
      </c>
    </row>
    <row r="64" spans="1:9" x14ac:dyDescent="0.3">
      <c r="A64">
        <v>59</v>
      </c>
      <c r="B64">
        <v>91</v>
      </c>
      <c r="C64">
        <v>59</v>
      </c>
      <c r="D64">
        <v>85.362200000000001</v>
      </c>
      <c r="F64">
        <v>59</v>
      </c>
      <c r="G64">
        <v>110</v>
      </c>
      <c r="H64">
        <v>59</v>
      </c>
      <c r="I64">
        <v>106</v>
      </c>
    </row>
    <row r="65" spans="1:9" x14ac:dyDescent="0.3">
      <c r="A65">
        <v>60</v>
      </c>
      <c r="B65">
        <v>89</v>
      </c>
      <c r="C65">
        <v>60</v>
      </c>
      <c r="D65">
        <v>83</v>
      </c>
      <c r="F65">
        <v>60</v>
      </c>
      <c r="G65">
        <v>110</v>
      </c>
      <c r="H65">
        <v>60</v>
      </c>
      <c r="I65">
        <v>105</v>
      </c>
    </row>
    <row r="66" spans="1:9" x14ac:dyDescent="0.3">
      <c r="A66">
        <v>61</v>
      </c>
      <c r="B66">
        <v>86</v>
      </c>
      <c r="C66">
        <v>61</v>
      </c>
      <c r="D66">
        <v>81.340500000000006</v>
      </c>
      <c r="F66">
        <v>61</v>
      </c>
      <c r="G66">
        <v>109</v>
      </c>
      <c r="H66">
        <v>61</v>
      </c>
      <c r="I66">
        <v>106</v>
      </c>
    </row>
    <row r="67" spans="1:9" x14ac:dyDescent="0.3">
      <c r="A67">
        <v>62</v>
      </c>
      <c r="B67">
        <v>84</v>
      </c>
      <c r="C67">
        <v>62</v>
      </c>
      <c r="D67">
        <v>78.670299999999997</v>
      </c>
      <c r="F67">
        <v>62</v>
      </c>
      <c r="G67">
        <v>109</v>
      </c>
      <c r="H67">
        <v>62</v>
      </c>
      <c r="I67">
        <v>105</v>
      </c>
    </row>
    <row r="68" spans="1:9" x14ac:dyDescent="0.3">
      <c r="A68">
        <v>63</v>
      </c>
      <c r="B68">
        <v>83</v>
      </c>
      <c r="C68">
        <v>63</v>
      </c>
      <c r="D68">
        <v>77</v>
      </c>
      <c r="F68">
        <v>63</v>
      </c>
      <c r="G68">
        <v>109</v>
      </c>
      <c r="H68">
        <v>63</v>
      </c>
      <c r="I68">
        <v>105</v>
      </c>
    </row>
    <row r="69" spans="1:9" x14ac:dyDescent="0.3">
      <c r="A69">
        <v>64</v>
      </c>
      <c r="B69">
        <v>81</v>
      </c>
      <c r="C69">
        <v>64</v>
      </c>
      <c r="D69">
        <v>75.308099999999996</v>
      </c>
      <c r="F69">
        <v>64</v>
      </c>
      <c r="G69">
        <v>109</v>
      </c>
      <c r="H69">
        <v>64</v>
      </c>
      <c r="I69">
        <v>104.3081</v>
      </c>
    </row>
    <row r="70" spans="1:9" x14ac:dyDescent="0.3">
      <c r="A70">
        <v>65</v>
      </c>
      <c r="B70">
        <v>79.922700000000006</v>
      </c>
      <c r="C70">
        <v>65</v>
      </c>
      <c r="D70">
        <v>72.5946</v>
      </c>
      <c r="F70">
        <v>65</v>
      </c>
      <c r="G70">
        <v>109</v>
      </c>
      <c r="H70">
        <v>65</v>
      </c>
      <c r="I70">
        <v>103</v>
      </c>
    </row>
    <row r="71" spans="1:9" x14ac:dyDescent="0.3">
      <c r="A71">
        <v>66</v>
      </c>
      <c r="B71">
        <v>78.906099999999995</v>
      </c>
      <c r="C71">
        <v>66</v>
      </c>
      <c r="D71">
        <v>71</v>
      </c>
      <c r="F71">
        <v>66</v>
      </c>
      <c r="G71">
        <v>109</v>
      </c>
      <c r="H71">
        <v>66</v>
      </c>
      <c r="I71">
        <v>103</v>
      </c>
    </row>
    <row r="72" spans="1:9" x14ac:dyDescent="0.3">
      <c r="A72">
        <v>67</v>
      </c>
      <c r="B72">
        <v>77.889499999999998</v>
      </c>
      <c r="C72">
        <v>67</v>
      </c>
      <c r="D72">
        <v>71</v>
      </c>
      <c r="F72">
        <v>67</v>
      </c>
      <c r="G72">
        <v>109</v>
      </c>
      <c r="H72">
        <v>67</v>
      </c>
      <c r="I72">
        <v>103</v>
      </c>
    </row>
    <row r="73" spans="1:9" x14ac:dyDescent="0.3">
      <c r="A73">
        <v>68</v>
      </c>
      <c r="B73">
        <v>76</v>
      </c>
      <c r="C73">
        <v>68</v>
      </c>
      <c r="D73">
        <v>71.264899999999997</v>
      </c>
      <c r="F73">
        <v>68</v>
      </c>
      <c r="G73">
        <v>108</v>
      </c>
      <c r="H73">
        <v>68</v>
      </c>
      <c r="I73">
        <v>102</v>
      </c>
    </row>
    <row r="74" spans="1:9" x14ac:dyDescent="0.3">
      <c r="A74">
        <v>69</v>
      </c>
      <c r="B74">
        <v>76.856399999999994</v>
      </c>
      <c r="C74">
        <v>69</v>
      </c>
      <c r="D74">
        <v>69.254099999999994</v>
      </c>
      <c r="F74">
        <v>69</v>
      </c>
      <c r="G74">
        <v>107</v>
      </c>
      <c r="H74">
        <v>69</v>
      </c>
      <c r="I74">
        <v>102</v>
      </c>
    </row>
    <row r="75" spans="1:9" x14ac:dyDescent="0.3">
      <c r="A75">
        <v>70</v>
      </c>
      <c r="B75">
        <v>76.679599999999994</v>
      </c>
      <c r="C75">
        <v>70</v>
      </c>
      <c r="D75">
        <v>68.243200000000002</v>
      </c>
      <c r="F75">
        <v>70</v>
      </c>
      <c r="G75">
        <v>106</v>
      </c>
      <c r="H75">
        <v>70</v>
      </c>
      <c r="I75">
        <v>102</v>
      </c>
    </row>
    <row r="76" spans="1:9" x14ac:dyDescent="0.3">
      <c r="A76">
        <v>71</v>
      </c>
      <c r="B76">
        <v>75</v>
      </c>
      <c r="C76">
        <v>71</v>
      </c>
      <c r="D76">
        <v>68.232399999999998</v>
      </c>
      <c r="F76">
        <v>71</v>
      </c>
      <c r="G76">
        <v>106</v>
      </c>
      <c r="H76">
        <v>71</v>
      </c>
      <c r="I76">
        <v>102</v>
      </c>
    </row>
    <row r="77" spans="1:9" x14ac:dyDescent="0.3">
      <c r="A77">
        <v>72</v>
      </c>
      <c r="B77">
        <v>73.806600000000003</v>
      </c>
      <c r="C77">
        <v>72</v>
      </c>
      <c r="D77">
        <v>68.221599999999995</v>
      </c>
      <c r="F77">
        <v>72</v>
      </c>
      <c r="G77">
        <v>105</v>
      </c>
      <c r="H77">
        <v>72</v>
      </c>
      <c r="I77">
        <v>102</v>
      </c>
    </row>
    <row r="78" spans="1:9" x14ac:dyDescent="0.3">
      <c r="A78">
        <v>73</v>
      </c>
      <c r="B78">
        <v>72.790099999999995</v>
      </c>
      <c r="C78">
        <v>73</v>
      </c>
      <c r="D78">
        <v>69</v>
      </c>
      <c r="F78">
        <v>73</v>
      </c>
      <c r="G78">
        <v>105</v>
      </c>
      <c r="H78">
        <v>73</v>
      </c>
      <c r="I78">
        <v>102</v>
      </c>
    </row>
    <row r="79" spans="1:9" x14ac:dyDescent="0.3">
      <c r="A79">
        <v>74</v>
      </c>
      <c r="B79">
        <v>73</v>
      </c>
      <c r="C79">
        <v>74</v>
      </c>
      <c r="D79">
        <v>67</v>
      </c>
      <c r="F79">
        <v>74</v>
      </c>
      <c r="G79">
        <v>104</v>
      </c>
      <c r="H79">
        <v>74</v>
      </c>
      <c r="I79">
        <v>103</v>
      </c>
    </row>
    <row r="80" spans="1:9" x14ac:dyDescent="0.3">
      <c r="A80">
        <v>75</v>
      </c>
      <c r="B80">
        <v>73</v>
      </c>
      <c r="C80">
        <v>75</v>
      </c>
      <c r="D80">
        <v>64</v>
      </c>
      <c r="F80">
        <v>75</v>
      </c>
      <c r="G80">
        <v>103</v>
      </c>
      <c r="H80">
        <v>75</v>
      </c>
      <c r="I80">
        <v>103</v>
      </c>
    </row>
    <row r="81" spans="1:9" x14ac:dyDescent="0.3">
      <c r="A81">
        <v>76</v>
      </c>
      <c r="B81">
        <v>71.740300000000005</v>
      </c>
      <c r="C81">
        <v>76</v>
      </c>
      <c r="D81">
        <v>64.178399999999996</v>
      </c>
      <c r="F81">
        <v>76</v>
      </c>
      <c r="G81">
        <v>102</v>
      </c>
      <c r="H81">
        <v>76</v>
      </c>
      <c r="I81">
        <v>102</v>
      </c>
    </row>
    <row r="82" spans="1:9" x14ac:dyDescent="0.3">
      <c r="A82">
        <v>77</v>
      </c>
      <c r="B82">
        <v>69.276200000000003</v>
      </c>
      <c r="C82">
        <v>77</v>
      </c>
      <c r="D82">
        <v>63.1676</v>
      </c>
      <c r="F82" s="9">
        <v>77</v>
      </c>
      <c r="G82" s="9">
        <v>101</v>
      </c>
      <c r="H82" s="9">
        <v>77</v>
      </c>
      <c r="I82" s="9">
        <v>102</v>
      </c>
    </row>
    <row r="83" spans="1:9" x14ac:dyDescent="0.3">
      <c r="A83">
        <v>78</v>
      </c>
      <c r="B83">
        <v>69.585599999999999</v>
      </c>
      <c r="C83">
        <v>78</v>
      </c>
      <c r="D83">
        <v>65</v>
      </c>
      <c r="F83">
        <v>78</v>
      </c>
      <c r="G83">
        <v>103</v>
      </c>
      <c r="H83">
        <v>78</v>
      </c>
      <c r="I83">
        <v>102</v>
      </c>
    </row>
    <row r="84" spans="1:9" x14ac:dyDescent="0.3">
      <c r="A84">
        <v>79</v>
      </c>
      <c r="B84">
        <v>68.618799999999993</v>
      </c>
      <c r="C84">
        <v>79</v>
      </c>
      <c r="D84">
        <v>65.854100000000003</v>
      </c>
      <c r="F84">
        <v>79</v>
      </c>
      <c r="G84">
        <v>102</v>
      </c>
      <c r="H84">
        <v>79</v>
      </c>
      <c r="I84">
        <v>102</v>
      </c>
    </row>
    <row r="85" spans="1:9" x14ac:dyDescent="0.3">
      <c r="A85">
        <v>80</v>
      </c>
      <c r="B85">
        <v>67.325999999999993</v>
      </c>
      <c r="C85">
        <v>80</v>
      </c>
      <c r="D85">
        <v>65.864900000000006</v>
      </c>
      <c r="F85">
        <v>80</v>
      </c>
      <c r="G85">
        <v>101</v>
      </c>
      <c r="H85">
        <v>80</v>
      </c>
      <c r="I85">
        <v>102</v>
      </c>
    </row>
    <row r="86" spans="1:9" x14ac:dyDescent="0.3">
      <c r="A86">
        <v>81</v>
      </c>
      <c r="B86">
        <v>67</v>
      </c>
      <c r="C86">
        <v>81</v>
      </c>
      <c r="D86">
        <v>63.875700000000002</v>
      </c>
      <c r="F86">
        <v>81</v>
      </c>
      <c r="G86">
        <v>101.3425</v>
      </c>
      <c r="H86">
        <v>81</v>
      </c>
      <c r="I86">
        <v>102</v>
      </c>
    </row>
    <row r="87" spans="1:9" x14ac:dyDescent="0.3">
      <c r="A87">
        <v>82</v>
      </c>
      <c r="B87">
        <v>66</v>
      </c>
      <c r="C87">
        <v>82</v>
      </c>
      <c r="D87">
        <v>63.886499999999998</v>
      </c>
      <c r="F87">
        <v>82</v>
      </c>
      <c r="G87">
        <v>101.3591</v>
      </c>
      <c r="H87">
        <v>82</v>
      </c>
      <c r="I87">
        <v>102</v>
      </c>
    </row>
    <row r="88" spans="1:9" x14ac:dyDescent="0.3">
      <c r="A88">
        <v>83</v>
      </c>
      <c r="B88">
        <v>65</v>
      </c>
      <c r="C88">
        <v>83</v>
      </c>
      <c r="D88">
        <v>63.897300000000001</v>
      </c>
      <c r="F88">
        <v>83</v>
      </c>
      <c r="G88">
        <v>102</v>
      </c>
      <c r="H88">
        <v>83</v>
      </c>
      <c r="I88">
        <v>102</v>
      </c>
    </row>
    <row r="89" spans="1:9" x14ac:dyDescent="0.3">
      <c r="A89">
        <v>84</v>
      </c>
      <c r="B89">
        <v>65</v>
      </c>
      <c r="C89">
        <v>84</v>
      </c>
      <c r="D89">
        <v>64</v>
      </c>
      <c r="F89">
        <v>84</v>
      </c>
      <c r="G89">
        <v>102</v>
      </c>
      <c r="H89">
        <v>84</v>
      </c>
      <c r="I89">
        <v>102</v>
      </c>
    </row>
    <row r="90" spans="1:9" x14ac:dyDescent="0.3">
      <c r="A90">
        <v>85</v>
      </c>
      <c r="B90">
        <v>64.591200000000001</v>
      </c>
      <c r="C90">
        <v>85</v>
      </c>
      <c r="D90">
        <v>62</v>
      </c>
      <c r="F90">
        <v>85</v>
      </c>
      <c r="G90">
        <v>102</v>
      </c>
      <c r="H90">
        <v>85</v>
      </c>
      <c r="I90">
        <v>102</v>
      </c>
    </row>
    <row r="91" spans="1:9" x14ac:dyDescent="0.3">
      <c r="A91">
        <v>86</v>
      </c>
      <c r="B91">
        <v>64.425399999999996</v>
      </c>
      <c r="C91">
        <v>86</v>
      </c>
      <c r="D91">
        <v>61.929699999999997</v>
      </c>
      <c r="F91">
        <v>86</v>
      </c>
      <c r="G91">
        <v>102</v>
      </c>
      <c r="H91">
        <v>86</v>
      </c>
      <c r="I91">
        <v>102</v>
      </c>
    </row>
    <row r="92" spans="1:9" x14ac:dyDescent="0.3">
      <c r="A92">
        <v>87</v>
      </c>
      <c r="B92">
        <v>64.441999999999993</v>
      </c>
      <c r="C92" s="3">
        <v>87</v>
      </c>
      <c r="D92" s="3">
        <v>60</v>
      </c>
      <c r="F92">
        <v>87</v>
      </c>
      <c r="G92">
        <v>102</v>
      </c>
      <c r="H92">
        <v>87</v>
      </c>
      <c r="I92">
        <v>102</v>
      </c>
    </row>
    <row r="93" spans="1:9" x14ac:dyDescent="0.3">
      <c r="A93">
        <v>88</v>
      </c>
      <c r="B93">
        <v>64.541399999999996</v>
      </c>
      <c r="C93">
        <v>88</v>
      </c>
      <c r="D93">
        <v>62</v>
      </c>
      <c r="F93">
        <v>88</v>
      </c>
      <c r="G93">
        <v>102</v>
      </c>
      <c r="H93">
        <v>88</v>
      </c>
      <c r="I93">
        <v>102</v>
      </c>
    </row>
    <row r="94" spans="1:9" x14ac:dyDescent="0.3">
      <c r="A94">
        <v>89</v>
      </c>
      <c r="B94">
        <v>63.524900000000002</v>
      </c>
      <c r="C94">
        <v>89</v>
      </c>
      <c r="D94">
        <v>63</v>
      </c>
      <c r="F94">
        <v>89</v>
      </c>
      <c r="G94">
        <v>102</v>
      </c>
      <c r="H94">
        <v>89</v>
      </c>
      <c r="I94">
        <v>102</v>
      </c>
    </row>
    <row r="95" spans="1:9" x14ac:dyDescent="0.3">
      <c r="A95">
        <v>90</v>
      </c>
      <c r="B95">
        <v>63</v>
      </c>
      <c r="C95">
        <v>90</v>
      </c>
      <c r="D95">
        <v>63</v>
      </c>
      <c r="F95">
        <v>90</v>
      </c>
      <c r="G95">
        <v>102</v>
      </c>
      <c r="H95">
        <v>90</v>
      </c>
      <c r="I95">
        <v>102</v>
      </c>
    </row>
    <row r="96" spans="1:9" x14ac:dyDescent="0.3">
      <c r="A96">
        <v>91</v>
      </c>
      <c r="B96">
        <v>63.491700000000002</v>
      </c>
      <c r="C96">
        <v>91</v>
      </c>
      <c r="D96">
        <v>63</v>
      </c>
      <c r="F96">
        <v>91</v>
      </c>
      <c r="G96">
        <v>102</v>
      </c>
      <c r="H96" s="3">
        <v>91</v>
      </c>
      <c r="I96" s="3">
        <v>102</v>
      </c>
    </row>
    <row r="97" spans="1:9" x14ac:dyDescent="0.3">
      <c r="A97">
        <v>92</v>
      </c>
      <c r="B97">
        <v>63.475099999999998</v>
      </c>
      <c r="C97">
        <v>92</v>
      </c>
      <c r="D97">
        <v>63</v>
      </c>
      <c r="F97">
        <v>92</v>
      </c>
      <c r="G97">
        <v>102</v>
      </c>
      <c r="H97">
        <v>92</v>
      </c>
      <c r="I97">
        <v>102</v>
      </c>
    </row>
    <row r="98" spans="1:9" x14ac:dyDescent="0.3">
      <c r="A98">
        <v>93</v>
      </c>
      <c r="B98">
        <v>63.458599999999997</v>
      </c>
      <c r="C98">
        <v>93</v>
      </c>
      <c r="D98">
        <v>63.005400000000002</v>
      </c>
      <c r="F98">
        <v>93</v>
      </c>
      <c r="G98">
        <v>102</v>
      </c>
      <c r="H98">
        <v>93</v>
      </c>
      <c r="I98">
        <v>102</v>
      </c>
    </row>
    <row r="99" spans="1:9" x14ac:dyDescent="0.3">
      <c r="A99">
        <v>94</v>
      </c>
      <c r="B99">
        <v>63.442</v>
      </c>
      <c r="C99">
        <v>94</v>
      </c>
      <c r="D99">
        <v>63.983800000000002</v>
      </c>
      <c r="F99" s="3">
        <v>94</v>
      </c>
      <c r="G99" s="3">
        <v>102</v>
      </c>
      <c r="H99">
        <v>94</v>
      </c>
      <c r="I99">
        <v>102</v>
      </c>
    </row>
    <row r="100" spans="1:9" x14ac:dyDescent="0.3">
      <c r="A100">
        <v>95</v>
      </c>
      <c r="B100">
        <v>63.425400000000003</v>
      </c>
      <c r="C100">
        <v>95</v>
      </c>
      <c r="D100">
        <v>64.972999999999999</v>
      </c>
      <c r="F100">
        <v>95</v>
      </c>
      <c r="G100">
        <v>102</v>
      </c>
      <c r="H100">
        <v>95</v>
      </c>
      <c r="I100">
        <v>102</v>
      </c>
    </row>
    <row r="101" spans="1:9" x14ac:dyDescent="0.3">
      <c r="A101">
        <v>96</v>
      </c>
      <c r="B101">
        <v>62</v>
      </c>
      <c r="C101">
        <v>96</v>
      </c>
      <c r="D101">
        <v>64.037800000000004</v>
      </c>
      <c r="F101">
        <v>96</v>
      </c>
      <c r="G101">
        <v>102</v>
      </c>
      <c r="H101">
        <v>96</v>
      </c>
      <c r="I101">
        <v>102</v>
      </c>
    </row>
    <row r="102" spans="1:9" x14ac:dyDescent="0.3">
      <c r="A102">
        <v>97</v>
      </c>
      <c r="B102">
        <v>60.392299999999999</v>
      </c>
      <c r="C102" s="9">
        <v>97</v>
      </c>
      <c r="D102" s="9">
        <v>64</v>
      </c>
      <c r="F102">
        <v>97</v>
      </c>
      <c r="G102">
        <v>102</v>
      </c>
      <c r="H102">
        <v>97</v>
      </c>
      <c r="I102">
        <v>102</v>
      </c>
    </row>
    <row r="103" spans="1:9" x14ac:dyDescent="0.3">
      <c r="A103">
        <v>98</v>
      </c>
      <c r="B103">
        <v>60</v>
      </c>
      <c r="C103">
        <v>98</v>
      </c>
      <c r="D103">
        <v>64</v>
      </c>
      <c r="F103">
        <v>98</v>
      </c>
      <c r="G103">
        <v>102.37569999999999</v>
      </c>
      <c r="H103">
        <v>98</v>
      </c>
      <c r="I103">
        <v>102</v>
      </c>
    </row>
    <row r="104" spans="1:9" x14ac:dyDescent="0.3">
      <c r="A104">
        <v>99</v>
      </c>
      <c r="B104">
        <v>60</v>
      </c>
      <c r="C104">
        <v>99</v>
      </c>
      <c r="D104">
        <v>64</v>
      </c>
      <c r="F104">
        <v>99</v>
      </c>
      <c r="G104">
        <v>102.3591</v>
      </c>
      <c r="H104">
        <v>99</v>
      </c>
      <c r="I104">
        <v>102</v>
      </c>
    </row>
    <row r="105" spans="1:9" x14ac:dyDescent="0.3">
      <c r="A105">
        <v>100</v>
      </c>
      <c r="B105">
        <v>60</v>
      </c>
      <c r="C105">
        <v>100</v>
      </c>
      <c r="D105">
        <v>64</v>
      </c>
      <c r="F105">
        <v>100</v>
      </c>
      <c r="G105">
        <v>102.3425</v>
      </c>
      <c r="H105">
        <v>100</v>
      </c>
      <c r="I105">
        <v>102</v>
      </c>
    </row>
    <row r="106" spans="1:9" x14ac:dyDescent="0.3">
      <c r="A106" s="9">
        <v>101</v>
      </c>
      <c r="B106" s="9">
        <v>61</v>
      </c>
      <c r="C106">
        <v>101</v>
      </c>
      <c r="D106">
        <v>66</v>
      </c>
      <c r="F106">
        <v>101</v>
      </c>
      <c r="G106">
        <v>102.32599999999999</v>
      </c>
      <c r="H106">
        <v>101</v>
      </c>
      <c r="I106">
        <v>102</v>
      </c>
    </row>
    <row r="107" spans="1:9" x14ac:dyDescent="0.3">
      <c r="A107">
        <v>102</v>
      </c>
      <c r="B107">
        <v>60</v>
      </c>
      <c r="C107">
        <v>102</v>
      </c>
      <c r="D107">
        <v>66</v>
      </c>
      <c r="F107">
        <v>102</v>
      </c>
      <c r="G107">
        <v>102.3094</v>
      </c>
      <c r="H107">
        <v>102</v>
      </c>
      <c r="I107">
        <v>102</v>
      </c>
    </row>
    <row r="108" spans="1:9" x14ac:dyDescent="0.3">
      <c r="A108" s="3">
        <v>103</v>
      </c>
      <c r="B108" s="3">
        <v>60</v>
      </c>
      <c r="C108">
        <v>103</v>
      </c>
      <c r="D108">
        <v>66</v>
      </c>
      <c r="F108">
        <v>103</v>
      </c>
      <c r="G108">
        <v>103</v>
      </c>
      <c r="H108">
        <v>103</v>
      </c>
      <c r="I108">
        <v>102</v>
      </c>
    </row>
    <row r="109" spans="1:9" x14ac:dyDescent="0.3">
      <c r="A109">
        <v>104</v>
      </c>
      <c r="B109">
        <v>60</v>
      </c>
      <c r="C109">
        <v>104</v>
      </c>
      <c r="D109">
        <v>68</v>
      </c>
      <c r="F109">
        <v>104</v>
      </c>
      <c r="G109">
        <v>103</v>
      </c>
      <c r="H109">
        <v>104</v>
      </c>
      <c r="I109">
        <v>102</v>
      </c>
    </row>
    <row r="110" spans="1:9" x14ac:dyDescent="0.3">
      <c r="A110">
        <v>105</v>
      </c>
      <c r="B110">
        <v>61.740299999999998</v>
      </c>
      <c r="C110">
        <v>105</v>
      </c>
      <c r="D110">
        <v>68</v>
      </c>
      <c r="F110">
        <v>105</v>
      </c>
      <c r="G110">
        <v>103</v>
      </c>
      <c r="H110">
        <v>105</v>
      </c>
      <c r="I110">
        <v>102</v>
      </c>
    </row>
    <row r="111" spans="1:9" x14ac:dyDescent="0.3">
      <c r="A111">
        <v>106</v>
      </c>
      <c r="B111">
        <v>62.756900000000002</v>
      </c>
      <c r="C111">
        <v>106</v>
      </c>
      <c r="D111">
        <v>67.854100000000003</v>
      </c>
      <c r="F111">
        <v>106</v>
      </c>
      <c r="G111">
        <v>103</v>
      </c>
      <c r="H111">
        <v>106</v>
      </c>
      <c r="I111">
        <v>102</v>
      </c>
    </row>
    <row r="112" spans="1:9" x14ac:dyDescent="0.3">
      <c r="A112">
        <v>107</v>
      </c>
      <c r="B112">
        <v>63.773499999999999</v>
      </c>
      <c r="C112">
        <v>107</v>
      </c>
      <c r="D112">
        <v>66.686499999999995</v>
      </c>
      <c r="F112">
        <v>107</v>
      </c>
      <c r="G112">
        <v>102.7735</v>
      </c>
      <c r="H112">
        <v>107</v>
      </c>
      <c r="I112">
        <v>102</v>
      </c>
    </row>
    <row r="113" spans="1:9" x14ac:dyDescent="0.3">
      <c r="A113">
        <v>108</v>
      </c>
      <c r="B113">
        <v>66</v>
      </c>
      <c r="C113">
        <v>108</v>
      </c>
      <c r="D113">
        <v>67.664900000000003</v>
      </c>
      <c r="F113">
        <v>108</v>
      </c>
      <c r="G113">
        <v>102.7901</v>
      </c>
      <c r="H113">
        <v>108</v>
      </c>
      <c r="I113">
        <v>102</v>
      </c>
    </row>
    <row r="114" spans="1:9" x14ac:dyDescent="0.3">
      <c r="A114">
        <v>109</v>
      </c>
      <c r="B114">
        <v>67.193399999999997</v>
      </c>
      <c r="C114">
        <v>109</v>
      </c>
      <c r="D114">
        <v>68.643199999999993</v>
      </c>
      <c r="F114">
        <v>109</v>
      </c>
      <c r="G114">
        <v>102.8066</v>
      </c>
      <c r="H114">
        <v>109</v>
      </c>
      <c r="I114">
        <v>102</v>
      </c>
    </row>
    <row r="115" spans="1:9" x14ac:dyDescent="0.3">
      <c r="A115">
        <v>110</v>
      </c>
      <c r="B115">
        <v>68</v>
      </c>
      <c r="C115">
        <v>110</v>
      </c>
      <c r="D115">
        <v>68.621600000000001</v>
      </c>
      <c r="F115">
        <v>110</v>
      </c>
      <c r="G115">
        <v>102</v>
      </c>
      <c r="H115">
        <v>110</v>
      </c>
      <c r="I115">
        <v>102</v>
      </c>
    </row>
    <row r="116" spans="1:9" x14ac:dyDescent="0.3">
      <c r="A116">
        <v>111</v>
      </c>
      <c r="B116">
        <v>69</v>
      </c>
      <c r="C116">
        <v>111</v>
      </c>
      <c r="D116">
        <v>68.599999999999994</v>
      </c>
      <c r="F116">
        <v>111</v>
      </c>
      <c r="G116">
        <v>102.1602</v>
      </c>
      <c r="H116">
        <v>111</v>
      </c>
      <c r="I116">
        <v>102</v>
      </c>
    </row>
    <row r="117" spans="1:9" x14ac:dyDescent="0.3">
      <c r="A117">
        <v>112</v>
      </c>
      <c r="B117">
        <v>69.143600000000006</v>
      </c>
      <c r="C117">
        <v>112</v>
      </c>
      <c r="D117">
        <v>69.789199999999994</v>
      </c>
      <c r="F117">
        <v>112</v>
      </c>
      <c r="G117">
        <v>102</v>
      </c>
      <c r="H117">
        <v>112</v>
      </c>
      <c r="I117">
        <v>102</v>
      </c>
    </row>
    <row r="118" spans="1:9" x14ac:dyDescent="0.3">
      <c r="A118">
        <v>113</v>
      </c>
      <c r="B118">
        <v>70</v>
      </c>
      <c r="C118">
        <v>113</v>
      </c>
      <c r="D118">
        <v>71</v>
      </c>
      <c r="F118">
        <v>113</v>
      </c>
      <c r="G118">
        <v>102.1271</v>
      </c>
      <c r="H118">
        <v>113</v>
      </c>
      <c r="I118">
        <v>103.2216</v>
      </c>
    </row>
    <row r="119" spans="1:9" x14ac:dyDescent="0.3">
      <c r="A119">
        <v>114</v>
      </c>
      <c r="B119">
        <v>70</v>
      </c>
      <c r="C119">
        <v>114</v>
      </c>
      <c r="D119">
        <v>73.232399999999998</v>
      </c>
      <c r="F119">
        <v>114</v>
      </c>
      <c r="G119">
        <v>103.1105</v>
      </c>
      <c r="H119">
        <v>114</v>
      </c>
      <c r="I119">
        <v>104.7676</v>
      </c>
    </row>
    <row r="120" spans="1:9" x14ac:dyDescent="0.3">
      <c r="A120">
        <v>115</v>
      </c>
      <c r="B120">
        <v>71</v>
      </c>
      <c r="C120">
        <v>115</v>
      </c>
      <c r="D120">
        <v>73.243200000000002</v>
      </c>
      <c r="F120">
        <v>115</v>
      </c>
      <c r="G120">
        <v>105.0939</v>
      </c>
      <c r="H120">
        <v>115</v>
      </c>
      <c r="I120">
        <v>104.7568</v>
      </c>
    </row>
    <row r="121" spans="1:9" x14ac:dyDescent="0.3">
      <c r="A121">
        <v>116</v>
      </c>
      <c r="B121">
        <v>72</v>
      </c>
      <c r="C121">
        <v>116</v>
      </c>
      <c r="D121">
        <v>74.254099999999994</v>
      </c>
      <c r="F121">
        <v>116</v>
      </c>
      <c r="G121">
        <v>104.92270000000001</v>
      </c>
      <c r="H121">
        <v>116</v>
      </c>
      <c r="I121">
        <v>104.74590000000001</v>
      </c>
    </row>
    <row r="122" spans="1:9" x14ac:dyDescent="0.3">
      <c r="A122">
        <v>117</v>
      </c>
      <c r="B122">
        <v>74</v>
      </c>
      <c r="C122">
        <v>117</v>
      </c>
      <c r="D122">
        <v>76.264899999999997</v>
      </c>
      <c r="F122">
        <v>117</v>
      </c>
      <c r="G122">
        <v>104</v>
      </c>
      <c r="H122">
        <v>117</v>
      </c>
      <c r="I122">
        <v>105</v>
      </c>
    </row>
    <row r="123" spans="1:9" x14ac:dyDescent="0.3">
      <c r="A123">
        <v>118</v>
      </c>
      <c r="B123">
        <v>75.044200000000004</v>
      </c>
      <c r="C123">
        <v>118</v>
      </c>
      <c r="D123">
        <v>75.275700000000001</v>
      </c>
      <c r="F123">
        <v>118</v>
      </c>
      <c r="G123">
        <v>104</v>
      </c>
      <c r="H123">
        <v>118</v>
      </c>
      <c r="I123">
        <v>106</v>
      </c>
    </row>
    <row r="124" spans="1:9" x14ac:dyDescent="0.3">
      <c r="A124">
        <v>119</v>
      </c>
      <c r="B124">
        <v>76</v>
      </c>
      <c r="C124">
        <v>119</v>
      </c>
      <c r="D124">
        <v>76.286500000000004</v>
      </c>
      <c r="F124">
        <v>119</v>
      </c>
      <c r="G124">
        <v>105</v>
      </c>
      <c r="H124">
        <v>119</v>
      </c>
      <c r="I124">
        <v>106</v>
      </c>
    </row>
    <row r="125" spans="1:9" x14ac:dyDescent="0.3">
      <c r="A125">
        <v>120</v>
      </c>
      <c r="B125">
        <v>77.989000000000004</v>
      </c>
      <c r="C125">
        <v>120</v>
      </c>
      <c r="D125">
        <v>79</v>
      </c>
      <c r="F125">
        <v>120</v>
      </c>
      <c r="G125">
        <v>106</v>
      </c>
      <c r="H125">
        <v>120</v>
      </c>
      <c r="I125">
        <v>106</v>
      </c>
    </row>
    <row r="126" spans="1:9" x14ac:dyDescent="0.3">
      <c r="A126">
        <v>121</v>
      </c>
      <c r="B126">
        <v>80</v>
      </c>
      <c r="C126">
        <v>121</v>
      </c>
      <c r="D126">
        <v>81</v>
      </c>
      <c r="F126">
        <v>121</v>
      </c>
      <c r="G126">
        <v>106</v>
      </c>
      <c r="H126">
        <v>121</v>
      </c>
      <c r="I126">
        <v>106</v>
      </c>
    </row>
    <row r="127" spans="1:9" x14ac:dyDescent="0.3">
      <c r="A127">
        <v>122</v>
      </c>
      <c r="B127">
        <v>82.977900000000005</v>
      </c>
      <c r="C127">
        <v>122</v>
      </c>
      <c r="D127">
        <v>84.318899999999999</v>
      </c>
      <c r="F127">
        <v>122</v>
      </c>
      <c r="G127">
        <v>107</v>
      </c>
      <c r="H127">
        <v>122</v>
      </c>
      <c r="I127">
        <v>107</v>
      </c>
    </row>
    <row r="128" spans="1:9" x14ac:dyDescent="0.3">
      <c r="A128">
        <v>123</v>
      </c>
      <c r="B128">
        <v>85</v>
      </c>
      <c r="C128">
        <v>123</v>
      </c>
      <c r="D128">
        <v>85.659499999999994</v>
      </c>
      <c r="F128">
        <v>123</v>
      </c>
      <c r="G128">
        <v>107</v>
      </c>
      <c r="H128">
        <v>123</v>
      </c>
      <c r="I128">
        <v>107</v>
      </c>
    </row>
    <row r="129" spans="1:9" x14ac:dyDescent="0.3">
      <c r="A129">
        <v>124</v>
      </c>
      <c r="B129">
        <v>86</v>
      </c>
      <c r="C129">
        <v>124</v>
      </c>
      <c r="D129">
        <v>88.681100000000001</v>
      </c>
      <c r="F129">
        <v>124</v>
      </c>
      <c r="G129">
        <v>107</v>
      </c>
      <c r="H129">
        <v>124</v>
      </c>
      <c r="I129">
        <v>107</v>
      </c>
    </row>
    <row r="130" spans="1:9" x14ac:dyDescent="0.3">
      <c r="A130">
        <v>125</v>
      </c>
      <c r="B130">
        <v>85.928200000000004</v>
      </c>
      <c r="C130">
        <v>125</v>
      </c>
      <c r="D130">
        <v>93.4054</v>
      </c>
      <c r="F130">
        <v>125</v>
      </c>
      <c r="G130">
        <v>107</v>
      </c>
      <c r="H130">
        <v>125</v>
      </c>
      <c r="I130">
        <v>108.64870000000001</v>
      </c>
    </row>
    <row r="131" spans="1:9" x14ac:dyDescent="0.3">
      <c r="A131">
        <v>126</v>
      </c>
      <c r="B131">
        <v>89.1768</v>
      </c>
      <c r="C131">
        <v>126</v>
      </c>
      <c r="D131">
        <v>98.724299999999999</v>
      </c>
      <c r="F131">
        <v>126</v>
      </c>
      <c r="G131">
        <v>107</v>
      </c>
      <c r="H131">
        <v>126</v>
      </c>
      <c r="I131">
        <v>110</v>
      </c>
    </row>
    <row r="132" spans="1:9" x14ac:dyDescent="0.3">
      <c r="A132">
        <v>127</v>
      </c>
      <c r="B132">
        <v>92.894999999999996</v>
      </c>
      <c r="C132">
        <v>127</v>
      </c>
      <c r="D132">
        <v>101</v>
      </c>
      <c r="F132">
        <v>127</v>
      </c>
      <c r="G132">
        <v>107</v>
      </c>
      <c r="H132">
        <v>127</v>
      </c>
      <c r="I132">
        <v>110</v>
      </c>
    </row>
    <row r="133" spans="1:9" x14ac:dyDescent="0.3">
      <c r="A133">
        <v>128</v>
      </c>
      <c r="B133">
        <v>96</v>
      </c>
      <c r="C133">
        <v>128</v>
      </c>
      <c r="D133">
        <v>102.61620000000001</v>
      </c>
      <c r="F133">
        <v>128</v>
      </c>
      <c r="G133">
        <v>107</v>
      </c>
      <c r="H133">
        <v>128</v>
      </c>
      <c r="I133">
        <v>110</v>
      </c>
    </row>
    <row r="134" spans="1:9" x14ac:dyDescent="0.3">
      <c r="A134">
        <v>129</v>
      </c>
      <c r="B134">
        <v>101</v>
      </c>
      <c r="C134">
        <v>129</v>
      </c>
      <c r="D134">
        <v>103.3946</v>
      </c>
      <c r="F134">
        <v>129</v>
      </c>
      <c r="G134">
        <v>107.13809999999999</v>
      </c>
      <c r="H134">
        <v>129</v>
      </c>
      <c r="I134">
        <v>110</v>
      </c>
    </row>
    <row r="135" spans="1:9" x14ac:dyDescent="0.3">
      <c r="A135">
        <v>130</v>
      </c>
      <c r="B135">
        <v>103.84529999999999</v>
      </c>
      <c r="C135">
        <v>130</v>
      </c>
      <c r="D135">
        <v>106</v>
      </c>
      <c r="F135">
        <v>130</v>
      </c>
      <c r="G135">
        <v>108</v>
      </c>
      <c r="H135">
        <v>130</v>
      </c>
      <c r="I135">
        <v>111</v>
      </c>
    </row>
    <row r="136" spans="1:9" x14ac:dyDescent="0.3">
      <c r="A136">
        <v>131</v>
      </c>
      <c r="B136">
        <v>105.8287</v>
      </c>
      <c r="C136">
        <v>131</v>
      </c>
      <c r="D136">
        <v>109.83240000000001</v>
      </c>
      <c r="F136">
        <v>131</v>
      </c>
      <c r="G136">
        <v>108</v>
      </c>
      <c r="H136">
        <v>131</v>
      </c>
      <c r="I136">
        <v>112</v>
      </c>
    </row>
    <row r="137" spans="1:9" x14ac:dyDescent="0.3">
      <c r="A137">
        <v>132</v>
      </c>
      <c r="B137">
        <v>113</v>
      </c>
      <c r="C137">
        <v>132</v>
      </c>
      <c r="D137">
        <v>112.42700000000001</v>
      </c>
      <c r="F137">
        <v>132</v>
      </c>
      <c r="G137">
        <v>108</v>
      </c>
      <c r="H137">
        <v>132</v>
      </c>
      <c r="I137">
        <v>112</v>
      </c>
    </row>
    <row r="138" spans="1:9" x14ac:dyDescent="0.3">
      <c r="A138">
        <v>133</v>
      </c>
      <c r="B138">
        <v>114</v>
      </c>
      <c r="C138">
        <v>133</v>
      </c>
      <c r="D138">
        <v>114</v>
      </c>
      <c r="F138">
        <v>133</v>
      </c>
      <c r="G138">
        <v>109</v>
      </c>
      <c r="H138">
        <v>133</v>
      </c>
      <c r="I138">
        <v>113</v>
      </c>
    </row>
    <row r="139" spans="1:9" x14ac:dyDescent="0.3">
      <c r="A139">
        <v>134</v>
      </c>
      <c r="B139">
        <v>115.221</v>
      </c>
      <c r="C139">
        <v>134</v>
      </c>
      <c r="D139">
        <v>115</v>
      </c>
      <c r="F139">
        <v>134</v>
      </c>
      <c r="G139">
        <v>110.779</v>
      </c>
      <c r="H139">
        <v>134</v>
      </c>
      <c r="I139">
        <v>114.4486</v>
      </c>
    </row>
    <row r="140" spans="1:9" x14ac:dyDescent="0.3">
      <c r="A140">
        <v>135</v>
      </c>
      <c r="B140">
        <v>119.2376</v>
      </c>
      <c r="C140">
        <v>135</v>
      </c>
      <c r="D140">
        <v>119</v>
      </c>
      <c r="F140">
        <v>135</v>
      </c>
      <c r="G140">
        <v>110.7624</v>
      </c>
      <c r="H140">
        <v>135</v>
      </c>
      <c r="I140">
        <v>114.45950000000001</v>
      </c>
    </row>
    <row r="141" spans="1:9" x14ac:dyDescent="0.3">
      <c r="A141">
        <v>136</v>
      </c>
      <c r="B141">
        <v>121</v>
      </c>
      <c r="C141">
        <v>136</v>
      </c>
      <c r="D141">
        <v>121.9405</v>
      </c>
      <c r="F141">
        <v>136</v>
      </c>
      <c r="G141">
        <v>111</v>
      </c>
      <c r="H141">
        <v>136</v>
      </c>
      <c r="I141">
        <v>114.47029999999999</v>
      </c>
    </row>
    <row r="142" spans="1:9" x14ac:dyDescent="0.3">
      <c r="A142">
        <v>137</v>
      </c>
      <c r="B142">
        <v>124.72929999999999</v>
      </c>
      <c r="C142">
        <v>137</v>
      </c>
      <c r="D142">
        <v>125.4811</v>
      </c>
      <c r="F142">
        <v>137</v>
      </c>
      <c r="G142">
        <v>111</v>
      </c>
      <c r="H142">
        <v>137</v>
      </c>
      <c r="I142">
        <v>115</v>
      </c>
    </row>
    <row r="143" spans="1:9" x14ac:dyDescent="0.3">
      <c r="A143">
        <v>138</v>
      </c>
      <c r="B143">
        <v>131</v>
      </c>
      <c r="C143">
        <v>138</v>
      </c>
      <c r="D143">
        <v>125.5081</v>
      </c>
      <c r="F143">
        <v>138</v>
      </c>
      <c r="G143">
        <v>112</v>
      </c>
      <c r="H143">
        <v>138</v>
      </c>
      <c r="I143">
        <v>116</v>
      </c>
    </row>
    <row r="144" spans="1:9" x14ac:dyDescent="0.3">
      <c r="A144">
        <v>139</v>
      </c>
      <c r="B144">
        <v>133</v>
      </c>
      <c r="C144">
        <v>139</v>
      </c>
      <c r="D144">
        <v>131.49189999999999</v>
      </c>
      <c r="F144">
        <v>139</v>
      </c>
      <c r="G144">
        <v>112</v>
      </c>
      <c r="H144">
        <v>139</v>
      </c>
      <c r="I144">
        <v>116</v>
      </c>
    </row>
    <row r="145" spans="1:9" x14ac:dyDescent="0.3">
      <c r="A145">
        <v>140</v>
      </c>
      <c r="B145">
        <v>129.32040000000001</v>
      </c>
      <c r="C145">
        <v>140</v>
      </c>
      <c r="D145">
        <v>133.02699999999999</v>
      </c>
      <c r="F145">
        <v>140</v>
      </c>
      <c r="G145">
        <v>112</v>
      </c>
      <c r="H145">
        <v>140</v>
      </c>
      <c r="I145">
        <v>116</v>
      </c>
    </row>
    <row r="146" spans="1:9" x14ac:dyDescent="0.3">
      <c r="A146">
        <v>141</v>
      </c>
      <c r="B146">
        <v>129.66300000000001</v>
      </c>
      <c r="C146">
        <v>141</v>
      </c>
      <c r="D146">
        <v>133</v>
      </c>
      <c r="F146">
        <v>141</v>
      </c>
      <c r="G146">
        <v>115</v>
      </c>
      <c r="H146">
        <v>141</v>
      </c>
      <c r="I146">
        <v>116</v>
      </c>
    </row>
    <row r="147" spans="1:9" x14ac:dyDescent="0.3">
      <c r="A147">
        <v>142</v>
      </c>
      <c r="B147">
        <v>131.6464</v>
      </c>
      <c r="C147" s="2">
        <v>142</v>
      </c>
      <c r="D147" s="2">
        <v>134.5351</v>
      </c>
      <c r="F147">
        <v>142</v>
      </c>
      <c r="G147">
        <v>116</v>
      </c>
      <c r="H147">
        <v>142</v>
      </c>
      <c r="I147">
        <v>116</v>
      </c>
    </row>
    <row r="148" spans="1:9" x14ac:dyDescent="0.3">
      <c r="A148">
        <v>143</v>
      </c>
      <c r="B148">
        <v>133</v>
      </c>
      <c r="C148">
        <v>143</v>
      </c>
      <c r="D148">
        <v>134.09190000000001</v>
      </c>
      <c r="F148">
        <v>143</v>
      </c>
      <c r="G148">
        <v>116</v>
      </c>
      <c r="H148">
        <v>143</v>
      </c>
      <c r="I148">
        <v>118</v>
      </c>
    </row>
    <row r="149" spans="1:9" x14ac:dyDescent="0.3">
      <c r="A149" s="2">
        <v>144</v>
      </c>
      <c r="B149" s="2">
        <v>133.61330000000001</v>
      </c>
      <c r="C149">
        <v>144</v>
      </c>
      <c r="D149">
        <v>134.11349999999999</v>
      </c>
      <c r="F149">
        <v>144</v>
      </c>
      <c r="G149">
        <v>117</v>
      </c>
      <c r="H149">
        <v>144</v>
      </c>
      <c r="I149">
        <v>119.5568</v>
      </c>
    </row>
    <row r="150" spans="1:9" x14ac:dyDescent="0.3">
      <c r="A150">
        <v>145</v>
      </c>
      <c r="B150">
        <v>130</v>
      </c>
      <c r="C150">
        <v>145</v>
      </c>
      <c r="D150">
        <v>133</v>
      </c>
      <c r="F150">
        <v>145</v>
      </c>
      <c r="G150">
        <v>117.5967</v>
      </c>
      <c r="H150">
        <v>145</v>
      </c>
      <c r="I150">
        <v>120</v>
      </c>
    </row>
    <row r="151" spans="1:9" x14ac:dyDescent="0.3">
      <c r="A151">
        <v>146</v>
      </c>
      <c r="B151">
        <v>129</v>
      </c>
      <c r="C151">
        <v>146</v>
      </c>
      <c r="D151">
        <v>130.57839999999999</v>
      </c>
      <c r="F151">
        <v>146</v>
      </c>
      <c r="G151">
        <v>118.5801</v>
      </c>
      <c r="H151">
        <v>146</v>
      </c>
      <c r="I151">
        <v>120.5784</v>
      </c>
    </row>
    <row r="152" spans="1:9" x14ac:dyDescent="0.3">
      <c r="A152">
        <v>147</v>
      </c>
      <c r="B152">
        <v>125.5635</v>
      </c>
      <c r="C152">
        <v>147</v>
      </c>
      <c r="D152">
        <v>128</v>
      </c>
      <c r="F152">
        <v>147</v>
      </c>
      <c r="G152">
        <v>120</v>
      </c>
      <c r="H152">
        <v>147</v>
      </c>
      <c r="I152">
        <v>123.1784</v>
      </c>
    </row>
    <row r="153" spans="1:9" x14ac:dyDescent="0.3">
      <c r="A153">
        <v>148</v>
      </c>
      <c r="B153">
        <v>126</v>
      </c>
      <c r="C153">
        <v>148</v>
      </c>
      <c r="D153">
        <v>127.6</v>
      </c>
      <c r="F153">
        <v>148</v>
      </c>
      <c r="G153">
        <v>120.547</v>
      </c>
      <c r="H153">
        <v>148</v>
      </c>
      <c r="I153">
        <v>124</v>
      </c>
    </row>
    <row r="154" spans="1:9" x14ac:dyDescent="0.3">
      <c r="A154">
        <v>149</v>
      </c>
      <c r="B154">
        <v>124</v>
      </c>
      <c r="C154">
        <v>149</v>
      </c>
      <c r="D154">
        <v>126</v>
      </c>
      <c r="F154">
        <v>149</v>
      </c>
      <c r="G154">
        <v>120.5304</v>
      </c>
      <c r="H154">
        <v>149</v>
      </c>
      <c r="I154">
        <v>125.6108</v>
      </c>
    </row>
    <row r="155" spans="1:9" x14ac:dyDescent="0.3">
      <c r="A155">
        <v>150</v>
      </c>
      <c r="B155">
        <v>124</v>
      </c>
      <c r="C155">
        <v>150</v>
      </c>
      <c r="D155">
        <v>125</v>
      </c>
      <c r="F155">
        <v>150</v>
      </c>
      <c r="G155">
        <v>121</v>
      </c>
      <c r="H155">
        <v>150</v>
      </c>
      <c r="I155">
        <v>125</v>
      </c>
    </row>
    <row r="156" spans="1:9" x14ac:dyDescent="0.3">
      <c r="A156">
        <v>151</v>
      </c>
      <c r="B156">
        <v>125</v>
      </c>
      <c r="C156">
        <v>151</v>
      </c>
      <c r="D156">
        <v>124</v>
      </c>
      <c r="F156">
        <v>151</v>
      </c>
      <c r="G156">
        <v>124</v>
      </c>
      <c r="H156">
        <v>151</v>
      </c>
      <c r="I156">
        <v>126.3676</v>
      </c>
    </row>
    <row r="157" spans="1:9" x14ac:dyDescent="0.3">
      <c r="A157">
        <v>152</v>
      </c>
      <c r="B157">
        <v>125</v>
      </c>
      <c r="C157">
        <v>152</v>
      </c>
      <c r="D157">
        <v>123.7135</v>
      </c>
      <c r="F157">
        <v>152</v>
      </c>
      <c r="G157">
        <v>124.4807</v>
      </c>
      <c r="H157">
        <v>152</v>
      </c>
      <c r="I157">
        <v>128.64320000000001</v>
      </c>
    </row>
    <row r="158" spans="1:9" x14ac:dyDescent="0.3">
      <c r="A158">
        <v>153</v>
      </c>
      <c r="B158">
        <v>125</v>
      </c>
      <c r="C158">
        <v>153</v>
      </c>
      <c r="D158">
        <v>122.6919</v>
      </c>
      <c r="F158">
        <v>153</v>
      </c>
      <c r="G158">
        <v>126</v>
      </c>
      <c r="H158">
        <v>153</v>
      </c>
      <c r="I158">
        <v>128</v>
      </c>
    </row>
    <row r="159" spans="1:9" x14ac:dyDescent="0.3">
      <c r="A159">
        <v>154</v>
      </c>
      <c r="B159">
        <v>125</v>
      </c>
      <c r="C159">
        <v>154</v>
      </c>
      <c r="D159">
        <v>123.3351</v>
      </c>
      <c r="F159">
        <v>154</v>
      </c>
      <c r="G159">
        <v>127</v>
      </c>
      <c r="H159">
        <v>154</v>
      </c>
      <c r="I159">
        <v>131</v>
      </c>
    </row>
    <row r="160" spans="1:9" x14ac:dyDescent="0.3">
      <c r="A160">
        <v>155</v>
      </c>
      <c r="B160">
        <v>125</v>
      </c>
      <c r="C160">
        <v>155</v>
      </c>
      <c r="D160">
        <v>124</v>
      </c>
      <c r="F160">
        <v>155</v>
      </c>
      <c r="G160">
        <v>130</v>
      </c>
      <c r="H160" s="2">
        <v>155</v>
      </c>
      <c r="I160" s="2">
        <v>132.67570000000001</v>
      </c>
    </row>
    <row r="161" spans="1:9" x14ac:dyDescent="0.3">
      <c r="A161">
        <v>156</v>
      </c>
      <c r="B161">
        <v>125</v>
      </c>
      <c r="C161">
        <v>156</v>
      </c>
      <c r="D161">
        <v>123</v>
      </c>
      <c r="F161">
        <v>156</v>
      </c>
      <c r="G161">
        <v>132</v>
      </c>
      <c r="H161">
        <v>156</v>
      </c>
      <c r="I161">
        <v>131</v>
      </c>
    </row>
    <row r="162" spans="1:9" x14ac:dyDescent="0.3">
      <c r="A162">
        <v>157</v>
      </c>
      <c r="B162">
        <v>125</v>
      </c>
      <c r="C162">
        <v>157</v>
      </c>
      <c r="D162">
        <v>122.3027</v>
      </c>
      <c r="F162">
        <v>157</v>
      </c>
      <c r="G162">
        <v>133.60220000000001</v>
      </c>
      <c r="H162">
        <v>157</v>
      </c>
      <c r="I162">
        <v>130</v>
      </c>
    </row>
    <row r="163" spans="1:9" x14ac:dyDescent="0.3">
      <c r="A163">
        <v>158</v>
      </c>
      <c r="B163">
        <v>125</v>
      </c>
      <c r="C163">
        <v>158</v>
      </c>
      <c r="D163">
        <v>124</v>
      </c>
      <c r="F163">
        <v>158</v>
      </c>
      <c r="G163">
        <v>132.61879999999999</v>
      </c>
      <c r="H163">
        <v>158</v>
      </c>
      <c r="I163">
        <v>130</v>
      </c>
    </row>
    <row r="164" spans="1:9" x14ac:dyDescent="0.3">
      <c r="A164">
        <v>159</v>
      </c>
      <c r="B164">
        <v>123</v>
      </c>
      <c r="C164">
        <v>159</v>
      </c>
      <c r="D164">
        <v>124</v>
      </c>
      <c r="F164">
        <v>159</v>
      </c>
      <c r="G164">
        <v>133.27070000000001</v>
      </c>
      <c r="H164">
        <v>159</v>
      </c>
      <c r="I164">
        <v>128.28110000000001</v>
      </c>
    </row>
    <row r="165" spans="1:9" x14ac:dyDescent="0.3">
      <c r="A165">
        <v>160</v>
      </c>
      <c r="B165">
        <v>123</v>
      </c>
      <c r="C165">
        <v>160</v>
      </c>
      <c r="D165">
        <v>123</v>
      </c>
      <c r="F165">
        <v>160</v>
      </c>
      <c r="G165">
        <v>133</v>
      </c>
      <c r="H165">
        <v>160</v>
      </c>
      <c r="I165">
        <v>129.27029999999999</v>
      </c>
    </row>
    <row r="166" spans="1:9" x14ac:dyDescent="0.3">
      <c r="A166">
        <v>161</v>
      </c>
      <c r="B166">
        <v>123</v>
      </c>
      <c r="C166">
        <v>161</v>
      </c>
      <c r="D166">
        <v>123</v>
      </c>
      <c r="F166" s="2">
        <v>161</v>
      </c>
      <c r="G166" s="2">
        <v>135.66849999999999</v>
      </c>
      <c r="H166">
        <v>161</v>
      </c>
      <c r="I166">
        <v>131.7405</v>
      </c>
    </row>
    <row r="167" spans="1:9" x14ac:dyDescent="0.3">
      <c r="A167">
        <v>162</v>
      </c>
      <c r="B167">
        <v>123.31489999999999</v>
      </c>
      <c r="C167">
        <v>162</v>
      </c>
      <c r="D167">
        <v>123</v>
      </c>
      <c r="F167">
        <v>162</v>
      </c>
      <c r="G167">
        <v>134</v>
      </c>
      <c r="H167">
        <v>162</v>
      </c>
      <c r="I167">
        <v>130.75139999999999</v>
      </c>
    </row>
    <row r="168" spans="1:9" x14ac:dyDescent="0.3">
      <c r="A168">
        <v>163</v>
      </c>
      <c r="B168">
        <v>123.2983</v>
      </c>
      <c r="C168">
        <v>163</v>
      </c>
      <c r="D168">
        <v>124</v>
      </c>
      <c r="F168">
        <v>163</v>
      </c>
      <c r="G168">
        <v>133</v>
      </c>
      <c r="H168">
        <v>163</v>
      </c>
      <c r="I168">
        <v>131.52430000000001</v>
      </c>
    </row>
    <row r="169" spans="1:9" x14ac:dyDescent="0.3">
      <c r="A169">
        <v>164</v>
      </c>
      <c r="B169">
        <v>124</v>
      </c>
      <c r="C169">
        <v>164</v>
      </c>
      <c r="D169">
        <v>122</v>
      </c>
      <c r="F169">
        <v>164</v>
      </c>
      <c r="G169">
        <v>133.2818</v>
      </c>
      <c r="H169">
        <v>164</v>
      </c>
      <c r="I169">
        <v>131.773</v>
      </c>
    </row>
    <row r="170" spans="1:9" x14ac:dyDescent="0.3">
      <c r="A170">
        <v>165</v>
      </c>
      <c r="B170">
        <v>125</v>
      </c>
      <c r="C170">
        <v>165</v>
      </c>
      <c r="D170">
        <v>122</v>
      </c>
      <c r="F170">
        <v>165</v>
      </c>
      <c r="G170">
        <v>131.73480000000001</v>
      </c>
      <c r="H170">
        <v>165</v>
      </c>
      <c r="I170">
        <v>129.5676</v>
      </c>
    </row>
    <row r="171" spans="1:9" x14ac:dyDescent="0.3">
      <c r="A171">
        <v>166</v>
      </c>
      <c r="B171">
        <v>125</v>
      </c>
      <c r="C171">
        <v>166</v>
      </c>
      <c r="D171">
        <v>122</v>
      </c>
      <c r="F171">
        <v>166</v>
      </c>
      <c r="G171">
        <v>131.75139999999999</v>
      </c>
      <c r="H171">
        <v>166</v>
      </c>
      <c r="I171">
        <v>128.7946</v>
      </c>
    </row>
    <row r="172" spans="1:9" x14ac:dyDescent="0.3">
      <c r="A172">
        <v>167</v>
      </c>
      <c r="B172">
        <v>125</v>
      </c>
      <c r="C172">
        <v>167</v>
      </c>
      <c r="D172">
        <v>122</v>
      </c>
      <c r="F172">
        <v>167</v>
      </c>
      <c r="G172">
        <v>133.768</v>
      </c>
      <c r="H172">
        <v>167</v>
      </c>
      <c r="I172">
        <v>127</v>
      </c>
    </row>
    <row r="173" spans="1:9" x14ac:dyDescent="0.3">
      <c r="A173">
        <v>168</v>
      </c>
      <c r="B173">
        <v>125</v>
      </c>
      <c r="C173">
        <v>168</v>
      </c>
      <c r="D173">
        <v>122</v>
      </c>
      <c r="F173">
        <v>168</v>
      </c>
      <c r="G173">
        <v>133.78450000000001</v>
      </c>
      <c r="H173">
        <v>168</v>
      </c>
      <c r="I173">
        <v>127.3676</v>
      </c>
    </row>
    <row r="174" spans="1:9" x14ac:dyDescent="0.3">
      <c r="A174">
        <v>169</v>
      </c>
      <c r="B174">
        <v>125</v>
      </c>
      <c r="C174">
        <v>169</v>
      </c>
      <c r="D174">
        <v>122</v>
      </c>
      <c r="F174">
        <v>169</v>
      </c>
      <c r="G174">
        <v>130.80109999999999</v>
      </c>
      <c r="H174">
        <v>169</v>
      </c>
      <c r="I174">
        <v>126</v>
      </c>
    </row>
    <row r="175" spans="1:9" x14ac:dyDescent="0.3">
      <c r="A175">
        <v>170</v>
      </c>
      <c r="B175">
        <v>125</v>
      </c>
      <c r="C175">
        <v>170</v>
      </c>
      <c r="D175">
        <v>122</v>
      </c>
      <c r="F175">
        <v>170</v>
      </c>
      <c r="G175">
        <v>132</v>
      </c>
      <c r="H175">
        <v>170</v>
      </c>
      <c r="I175">
        <v>126</v>
      </c>
    </row>
    <row r="176" spans="1:9" x14ac:dyDescent="0.3">
      <c r="A176">
        <v>171</v>
      </c>
      <c r="B176">
        <v>125</v>
      </c>
      <c r="C176">
        <v>171</v>
      </c>
      <c r="D176">
        <v>122</v>
      </c>
      <c r="F176">
        <v>171</v>
      </c>
      <c r="G176">
        <v>130.66849999999999</v>
      </c>
      <c r="H176">
        <v>171</v>
      </c>
      <c r="I176">
        <v>124</v>
      </c>
    </row>
    <row r="177" spans="1:9" x14ac:dyDescent="0.3">
      <c r="A177">
        <v>172</v>
      </c>
      <c r="B177">
        <v>125</v>
      </c>
      <c r="C177">
        <v>172</v>
      </c>
      <c r="D177">
        <v>122</v>
      </c>
      <c r="F177">
        <v>172</v>
      </c>
      <c r="G177">
        <v>128.85079999999999</v>
      </c>
      <c r="H177">
        <v>172</v>
      </c>
      <c r="I177">
        <v>124</v>
      </c>
    </row>
    <row r="178" spans="1:9" x14ac:dyDescent="0.3">
      <c r="A178">
        <v>173</v>
      </c>
      <c r="B178">
        <v>125</v>
      </c>
      <c r="C178">
        <v>173</v>
      </c>
      <c r="D178">
        <v>122</v>
      </c>
      <c r="F178">
        <v>173</v>
      </c>
      <c r="G178">
        <v>127</v>
      </c>
      <c r="H178">
        <v>173</v>
      </c>
      <c r="I178">
        <v>123</v>
      </c>
    </row>
    <row r="179" spans="1:9" x14ac:dyDescent="0.3">
      <c r="A179">
        <v>174</v>
      </c>
      <c r="B179">
        <v>125</v>
      </c>
      <c r="C179">
        <v>174</v>
      </c>
      <c r="D179">
        <v>122</v>
      </c>
      <c r="F179">
        <v>174</v>
      </c>
      <c r="G179">
        <v>125.768</v>
      </c>
      <c r="H179">
        <v>174</v>
      </c>
      <c r="I179">
        <v>124</v>
      </c>
    </row>
    <row r="180" spans="1:9" x14ac:dyDescent="0.3">
      <c r="A180">
        <v>175</v>
      </c>
      <c r="B180">
        <v>125</v>
      </c>
      <c r="C180">
        <v>175</v>
      </c>
      <c r="D180">
        <v>121.10809999999999</v>
      </c>
      <c r="F180">
        <v>175</v>
      </c>
      <c r="G180">
        <v>123.80110000000001</v>
      </c>
      <c r="H180">
        <v>175</v>
      </c>
      <c r="I180">
        <v>122</v>
      </c>
    </row>
    <row r="181" spans="1:9" x14ac:dyDescent="0.3">
      <c r="A181">
        <v>176</v>
      </c>
      <c r="B181">
        <v>125</v>
      </c>
      <c r="C181">
        <v>176</v>
      </c>
      <c r="D181">
        <v>121.0973</v>
      </c>
      <c r="F181">
        <v>176</v>
      </c>
      <c r="G181">
        <v>122</v>
      </c>
      <c r="H181">
        <v>176</v>
      </c>
      <c r="I181">
        <v>120.0973</v>
      </c>
    </row>
    <row r="182" spans="1:9" x14ac:dyDescent="0.3">
      <c r="A182">
        <v>177</v>
      </c>
      <c r="B182">
        <v>125</v>
      </c>
      <c r="C182">
        <v>177</v>
      </c>
      <c r="D182">
        <v>121.0865</v>
      </c>
      <c r="F182">
        <v>177</v>
      </c>
      <c r="G182">
        <v>124</v>
      </c>
      <c r="H182">
        <v>177</v>
      </c>
      <c r="I182">
        <v>118.0865</v>
      </c>
    </row>
    <row r="183" spans="1:9" x14ac:dyDescent="0.3">
      <c r="A183">
        <v>178</v>
      </c>
      <c r="B183">
        <v>125</v>
      </c>
      <c r="C183">
        <v>178</v>
      </c>
      <c r="D183">
        <v>121</v>
      </c>
      <c r="F183">
        <v>178</v>
      </c>
      <c r="G183">
        <v>124</v>
      </c>
      <c r="H183">
        <v>178</v>
      </c>
      <c r="I183">
        <v>117</v>
      </c>
    </row>
    <row r="184" spans="1:9" x14ac:dyDescent="0.3">
      <c r="A184">
        <v>179</v>
      </c>
      <c r="B184">
        <v>125</v>
      </c>
      <c r="C184">
        <v>179</v>
      </c>
      <c r="D184">
        <v>121</v>
      </c>
      <c r="F184">
        <v>179</v>
      </c>
      <c r="G184">
        <v>124</v>
      </c>
      <c r="H184">
        <v>179</v>
      </c>
      <c r="I184">
        <v>117.93510000000001</v>
      </c>
    </row>
    <row r="185" spans="1:9" x14ac:dyDescent="0.3">
      <c r="A185">
        <v>180</v>
      </c>
      <c r="B185">
        <v>125</v>
      </c>
      <c r="C185">
        <v>180</v>
      </c>
      <c r="D185">
        <v>121</v>
      </c>
      <c r="F185">
        <v>180</v>
      </c>
      <c r="G185">
        <v>124</v>
      </c>
      <c r="H185">
        <v>180</v>
      </c>
      <c r="I185">
        <v>117</v>
      </c>
    </row>
    <row r="186" spans="1:9" x14ac:dyDescent="0.3">
      <c r="A186">
        <v>181</v>
      </c>
      <c r="B186">
        <v>125</v>
      </c>
      <c r="C186">
        <v>181</v>
      </c>
      <c r="D186">
        <v>122</v>
      </c>
      <c r="F186">
        <v>181</v>
      </c>
      <c r="G186">
        <v>124</v>
      </c>
      <c r="H186">
        <v>181</v>
      </c>
      <c r="I186">
        <v>118</v>
      </c>
    </row>
    <row r="187" spans="1:9" x14ac:dyDescent="0.3">
      <c r="C187">
        <v>182</v>
      </c>
      <c r="D187">
        <v>122</v>
      </c>
      <c r="H187">
        <v>182</v>
      </c>
      <c r="I187">
        <v>118</v>
      </c>
    </row>
    <row r="188" spans="1:9" x14ac:dyDescent="0.3">
      <c r="C188">
        <v>183</v>
      </c>
      <c r="D188">
        <v>122</v>
      </c>
      <c r="H188">
        <v>183</v>
      </c>
      <c r="I188">
        <v>118</v>
      </c>
    </row>
    <row r="189" spans="1:9" x14ac:dyDescent="0.3">
      <c r="C189">
        <v>184</v>
      </c>
      <c r="D189">
        <v>122</v>
      </c>
      <c r="H189">
        <v>184</v>
      </c>
      <c r="I189">
        <v>118</v>
      </c>
    </row>
    <row r="190" spans="1:9" x14ac:dyDescent="0.3">
      <c r="C190">
        <v>185</v>
      </c>
      <c r="D190">
        <v>122</v>
      </c>
      <c r="H190">
        <v>185</v>
      </c>
      <c r="I190">
        <v>119</v>
      </c>
    </row>
  </sheetData>
  <mergeCells count="24">
    <mergeCell ref="A1:D1"/>
    <mergeCell ref="F1:I1"/>
    <mergeCell ref="A3:B3"/>
    <mergeCell ref="C3:D3"/>
    <mergeCell ref="F3:G3"/>
    <mergeCell ref="H3:I3"/>
    <mergeCell ref="N10:O10"/>
    <mergeCell ref="Q10:R10"/>
    <mergeCell ref="K12:L12"/>
    <mergeCell ref="K13:L13"/>
    <mergeCell ref="N13:O13"/>
    <mergeCell ref="Q13:R13"/>
    <mergeCell ref="K19:L19"/>
    <mergeCell ref="K20:L20"/>
    <mergeCell ref="N20:O20"/>
    <mergeCell ref="Q20:R20"/>
    <mergeCell ref="K14:L14"/>
    <mergeCell ref="K15:L15"/>
    <mergeCell ref="N15:O15"/>
    <mergeCell ref="Q15:R15"/>
    <mergeCell ref="K17:L17"/>
    <mergeCell ref="K18:L18"/>
    <mergeCell ref="N18:O18"/>
    <mergeCell ref="Q18:R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A058-97C6-43EF-ADDA-4A867E5EBD32}">
  <dimension ref="A1:P9"/>
  <sheetViews>
    <sheetView tabSelected="1" workbookViewId="0">
      <selection activeCell="N3" sqref="N3"/>
    </sheetView>
  </sheetViews>
  <sheetFormatPr defaultRowHeight="14.4" x14ac:dyDescent="0.3"/>
  <cols>
    <col min="1" max="10" width="7.77734375" customWidth="1"/>
    <col min="11" max="11" width="11.44140625" customWidth="1"/>
    <col min="12" max="12" width="7.77734375" customWidth="1"/>
    <col min="13" max="13" width="11.109375" customWidth="1"/>
    <col min="14" max="14" width="14.77734375" customWidth="1"/>
  </cols>
  <sheetData>
    <row r="1" spans="1:16" ht="40.799999999999997" thickBot="1" x14ac:dyDescent="0.35">
      <c r="A1" s="12"/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24</v>
      </c>
      <c r="I1" s="12" t="s">
        <v>25</v>
      </c>
      <c r="J1" s="12" t="s">
        <v>8</v>
      </c>
      <c r="K1" s="12" t="s">
        <v>9</v>
      </c>
      <c r="L1" s="12" t="s">
        <v>10</v>
      </c>
      <c r="M1" s="16" t="s">
        <v>36</v>
      </c>
    </row>
    <row r="2" spans="1:16" ht="30" customHeight="1" thickBot="1" x14ac:dyDescent="0.35">
      <c r="A2" s="12" t="s">
        <v>28</v>
      </c>
      <c r="B2" s="12">
        <v>50.237000000000002</v>
      </c>
      <c r="C2" s="12">
        <v>121.455</v>
      </c>
      <c r="D2" s="12">
        <f t="shared" ref="D2:D7" si="0">(C2-B2)</f>
        <v>71.217999999999989</v>
      </c>
      <c r="E2" s="12">
        <v>45</v>
      </c>
      <c r="F2" s="12">
        <v>60</v>
      </c>
      <c r="G2" s="12">
        <v>0.30299999999999999</v>
      </c>
      <c r="H2" s="12">
        <f t="shared" ref="H2:I7" si="1">(E2/2.355)^2</f>
        <v>365.12637429510329</v>
      </c>
      <c r="I2" s="12">
        <f t="shared" si="1"/>
        <v>649.11355430240587</v>
      </c>
      <c r="J2" s="12">
        <f t="shared" ref="J2:J7" si="2">(I2-H2)</f>
        <v>283.98718000730258</v>
      </c>
      <c r="K2" s="12">
        <f t="shared" ref="K2:K7" si="3">(J2/(6*D2))*G2</f>
        <v>0.20137258263878208</v>
      </c>
      <c r="L2" s="12">
        <f t="shared" ref="L2:L7" si="4">(K2*1000)</f>
        <v>201.37258263878206</v>
      </c>
      <c r="M2" s="23">
        <f>AVERAGE(L2,L3)</f>
        <v>178.93392343046062</v>
      </c>
      <c r="N2">
        <f>AVERAGE(K2:K7)</f>
        <v>0.32325599935108573</v>
      </c>
      <c r="P2" t="s">
        <v>37</v>
      </c>
    </row>
    <row r="3" spans="1:16" ht="30" customHeight="1" thickBot="1" x14ac:dyDescent="0.35">
      <c r="A3" s="12" t="s">
        <v>31</v>
      </c>
      <c r="B3" s="15">
        <v>50.237000000000002</v>
      </c>
      <c r="C3" s="15">
        <v>121.455</v>
      </c>
      <c r="D3" s="15">
        <f t="shared" si="0"/>
        <v>71.217999999999989</v>
      </c>
      <c r="E3" s="15">
        <v>45</v>
      </c>
      <c r="F3" s="15">
        <v>57</v>
      </c>
      <c r="G3" s="15">
        <v>0.30299999999999999</v>
      </c>
      <c r="H3" s="15">
        <f t="shared" si="1"/>
        <v>365.12637429510329</v>
      </c>
      <c r="I3" s="15">
        <f t="shared" si="1"/>
        <v>585.82498275792125</v>
      </c>
      <c r="J3" s="15">
        <f t="shared" si="2"/>
        <v>220.69860846281796</v>
      </c>
      <c r="K3" s="15">
        <f t="shared" si="3"/>
        <v>0.15649526422213919</v>
      </c>
      <c r="L3" s="15">
        <f t="shared" si="4"/>
        <v>156.49526422213918</v>
      </c>
      <c r="M3" s="23"/>
      <c r="N3">
        <f>(N2*3.3*3.3)</f>
        <v>3.5202578329333232</v>
      </c>
    </row>
    <row r="4" spans="1:16" ht="30" customHeight="1" thickBot="1" x14ac:dyDescent="0.35">
      <c r="A4" s="12" t="s">
        <v>29</v>
      </c>
      <c r="B4" s="13">
        <v>40.441000000000003</v>
      </c>
      <c r="C4" s="13">
        <v>150.542</v>
      </c>
      <c r="D4" s="13">
        <f t="shared" si="0"/>
        <v>110.101</v>
      </c>
      <c r="E4" s="13">
        <v>70</v>
      </c>
      <c r="F4" s="13">
        <v>96</v>
      </c>
      <c r="G4" s="13">
        <v>0.30299999999999999</v>
      </c>
      <c r="H4" s="13">
        <f t="shared" si="1"/>
        <v>883.5156711338301</v>
      </c>
      <c r="I4" s="13">
        <f t="shared" si="1"/>
        <v>1661.7306990141585</v>
      </c>
      <c r="J4" s="13">
        <f t="shared" si="2"/>
        <v>778.21502788032842</v>
      </c>
      <c r="K4" s="13">
        <f t="shared" si="3"/>
        <v>0.3569437053973768</v>
      </c>
      <c r="L4" s="13">
        <f t="shared" si="4"/>
        <v>356.94370539737679</v>
      </c>
      <c r="M4" s="23">
        <f>AVERAGE(L4,L5)</f>
        <v>310.79574719261871</v>
      </c>
    </row>
    <row r="5" spans="1:16" ht="30" customHeight="1" thickBot="1" x14ac:dyDescent="0.35">
      <c r="A5" s="12" t="s">
        <v>33</v>
      </c>
      <c r="B5" s="13">
        <v>40.441000000000003</v>
      </c>
      <c r="C5" s="13">
        <v>150.542</v>
      </c>
      <c r="D5" s="13">
        <f t="shared" si="0"/>
        <v>110.101</v>
      </c>
      <c r="E5" s="16">
        <v>70</v>
      </c>
      <c r="F5" s="16">
        <v>90</v>
      </c>
      <c r="G5" s="13">
        <v>0.30299999999999999</v>
      </c>
      <c r="H5" s="13">
        <f t="shared" si="1"/>
        <v>883.5156711338301</v>
      </c>
      <c r="I5" s="13">
        <f t="shared" si="1"/>
        <v>1460.5054971804132</v>
      </c>
      <c r="J5" s="13">
        <f t="shared" si="2"/>
        <v>576.98982604658306</v>
      </c>
      <c r="K5" s="13">
        <f t="shared" si="3"/>
        <v>0.26464778898786068</v>
      </c>
      <c r="L5" s="13">
        <f t="shared" si="4"/>
        <v>264.64778898786068</v>
      </c>
      <c r="M5" s="23"/>
    </row>
    <row r="6" spans="1:16" ht="30" customHeight="1" thickBot="1" x14ac:dyDescent="0.35">
      <c r="A6" s="14" t="s">
        <v>30</v>
      </c>
      <c r="B6" s="10">
        <v>45.719000000000001</v>
      </c>
      <c r="C6" s="10">
        <v>146.072</v>
      </c>
      <c r="D6" s="13">
        <f t="shared" si="0"/>
        <v>100.35300000000001</v>
      </c>
      <c r="E6" s="10">
        <v>73</v>
      </c>
      <c r="F6" s="10">
        <v>103</v>
      </c>
      <c r="G6" s="13">
        <v>0.30299999999999999</v>
      </c>
      <c r="H6" s="13">
        <f t="shared" si="1"/>
        <v>960.86836968820023</v>
      </c>
      <c r="I6" s="13">
        <f t="shared" si="1"/>
        <v>1912.9015826650618</v>
      </c>
      <c r="J6" s="13">
        <f t="shared" si="2"/>
        <v>952.03321297686159</v>
      </c>
      <c r="K6" s="13">
        <f t="shared" si="3"/>
        <v>0.47908560038395964</v>
      </c>
      <c r="L6" s="13">
        <f t="shared" si="4"/>
        <v>479.08560038395962</v>
      </c>
      <c r="M6" s="23">
        <f>AVERAGE(L6,L7)</f>
        <v>480.0383274301779</v>
      </c>
    </row>
    <row r="7" spans="1:16" ht="30" customHeight="1" thickBot="1" x14ac:dyDescent="0.35">
      <c r="A7" s="14" t="s">
        <v>32</v>
      </c>
      <c r="B7" s="10">
        <v>45.719000000000001</v>
      </c>
      <c r="C7" s="10">
        <v>146.072</v>
      </c>
      <c r="D7" s="13">
        <f t="shared" si="0"/>
        <v>100.35300000000001</v>
      </c>
      <c r="E7" s="10">
        <v>70</v>
      </c>
      <c r="F7" s="10">
        <v>101</v>
      </c>
      <c r="G7" s="13">
        <v>0.30299999999999999</v>
      </c>
      <c r="H7" s="13">
        <f t="shared" si="1"/>
        <v>883.5156711338301</v>
      </c>
      <c r="I7" s="13">
        <f t="shared" si="1"/>
        <v>1839.3353798441228</v>
      </c>
      <c r="J7" s="13">
        <f t="shared" si="2"/>
        <v>955.81970871029273</v>
      </c>
      <c r="K7" s="13">
        <f t="shared" si="3"/>
        <v>0.48099105447639612</v>
      </c>
      <c r="L7" s="13">
        <f t="shared" si="4"/>
        <v>480.99105447639613</v>
      </c>
      <c r="M7" s="23"/>
      <c r="N7" t="s">
        <v>35</v>
      </c>
    </row>
    <row r="8" spans="1:16" ht="30" customHeight="1" x14ac:dyDescent="0.3">
      <c r="K8" s="2" t="s">
        <v>34</v>
      </c>
      <c r="L8" s="11">
        <f>AVERAGE(L2:L7)</f>
        <v>323.25599935108573</v>
      </c>
      <c r="M8" s="10"/>
    </row>
    <row r="9" spans="1:16" ht="35.4" customHeight="1" x14ac:dyDescent="0.3"/>
  </sheetData>
  <mergeCells count="3">
    <mergeCell ref="M2:M3"/>
    <mergeCell ref="M4:M5"/>
    <mergeCell ref="M6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Data_1</vt:lpstr>
      <vt:lpstr>Data_2</vt:lpstr>
      <vt:lpstr>Data_3</vt:lpstr>
      <vt:lpstr>Consolidated</vt:lpstr>
      <vt:lpstr>x_scan1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Basak</dc:creator>
  <cp:lastModifiedBy>Arya Basak</cp:lastModifiedBy>
  <dcterms:created xsi:type="dcterms:W3CDTF">2024-08-25T14:49:36Z</dcterms:created>
  <dcterms:modified xsi:type="dcterms:W3CDTF">2024-08-27T11:37:21Z</dcterms:modified>
</cp:coreProperties>
</file>