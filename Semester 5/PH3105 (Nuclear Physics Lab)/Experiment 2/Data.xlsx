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RYA BASAK\Downloads\"/>
    </mc:Choice>
  </mc:AlternateContent>
  <xr:revisionPtr revIDLastSave="0" documentId="13_ncr:1_{6AEB80CD-7354-4E68-8228-E06B706B9E46}" xr6:coauthVersionLast="47" xr6:coauthVersionMax="47" xr10:uidLastSave="{00000000-0000-0000-0000-000000000000}"/>
  <bookViews>
    <workbookView xWindow="-96" yWindow="0" windowWidth="11712" windowHeight="12336" activeTab="1" xr2:uid="{00000000-000D-0000-FFFF-FFFF00000000}"/>
  </bookViews>
  <sheets>
    <sheet name="Inverse Square Law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2" l="1"/>
  <c r="D5" i="2"/>
  <c r="D6" i="2"/>
  <c r="D7" i="2"/>
  <c r="D9" i="2"/>
  <c r="D10" i="2"/>
  <c r="D11" i="2"/>
  <c r="D12" i="2"/>
  <c r="D13" i="2"/>
  <c r="D15" i="2"/>
  <c r="D16" i="2"/>
  <c r="D17" i="2"/>
  <c r="D18" i="2"/>
  <c r="D19" i="2"/>
  <c r="D21" i="2"/>
  <c r="D22" i="2"/>
  <c r="D23" i="2"/>
  <c r="D24" i="2"/>
  <c r="D25" i="2"/>
  <c r="D27" i="2"/>
  <c r="D28" i="2"/>
  <c r="D29" i="2"/>
  <c r="D30" i="2"/>
  <c r="D31" i="2"/>
  <c r="D3" i="2"/>
  <c r="E87" i="1"/>
  <c r="D87" i="1"/>
  <c r="E83" i="1"/>
  <c r="D83" i="1"/>
  <c r="E79" i="1"/>
  <c r="D79" i="1"/>
  <c r="E75" i="1"/>
  <c r="D75" i="1"/>
  <c r="E71" i="1"/>
  <c r="D71" i="1"/>
  <c r="E67" i="1"/>
  <c r="D67" i="1"/>
  <c r="E63" i="1"/>
  <c r="D63" i="1"/>
  <c r="E59" i="1"/>
  <c r="D59" i="1"/>
  <c r="E55" i="1"/>
  <c r="D55" i="1"/>
  <c r="E51" i="1"/>
  <c r="D51" i="1"/>
  <c r="E47" i="1"/>
  <c r="D47" i="1"/>
  <c r="E43" i="1"/>
  <c r="D43" i="1"/>
  <c r="E39" i="1"/>
  <c r="D39" i="1"/>
  <c r="E35" i="1"/>
  <c r="D35" i="1"/>
  <c r="E31" i="1"/>
  <c r="D31" i="1"/>
  <c r="E27" i="1"/>
  <c r="D27" i="1"/>
  <c r="E23" i="1"/>
  <c r="D23" i="1"/>
  <c r="E19" i="1"/>
  <c r="D19" i="1"/>
  <c r="E15" i="1"/>
  <c r="D15" i="1"/>
  <c r="E11" i="1"/>
  <c r="D11" i="1"/>
  <c r="E7" i="1"/>
  <c r="D7" i="1"/>
  <c r="E3" i="1"/>
  <c r="D3" i="1"/>
</calcChain>
</file>

<file path=xl/sharedStrings.xml><?xml version="1.0" encoding="utf-8"?>
<sst xmlns="http://schemas.openxmlformats.org/spreadsheetml/2006/main" count="12" uniqueCount="10">
  <si>
    <t>Distance (r)</t>
  </si>
  <si>
    <t>Counts</t>
  </si>
  <si>
    <t>Average Count</t>
  </si>
  <si>
    <t>1/r^2</t>
  </si>
  <si>
    <t>SL. No.</t>
  </si>
  <si>
    <t>Counts/30 s</t>
  </si>
  <si>
    <t>Counts/s</t>
  </si>
  <si>
    <t>Corrected Count</t>
  </si>
  <si>
    <t>Background Radiation/s</t>
  </si>
  <si>
    <t>Thickness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</si>
</sst>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88"/>
  <sheetViews>
    <sheetView workbookViewId="0">
      <selection activeCell="I16" sqref="I16"/>
    </sheetView>
  </sheetViews>
  <sheetFormatPr defaultColWidth="12.6640625" defaultRowHeight="15.75" customHeight="1" x14ac:dyDescent="0.25"/>
  <cols>
    <col min="1" max="3" width="12.6640625" style="2"/>
    <col min="4" max="4" width="14.5546875" style="2" customWidth="1"/>
    <col min="5" max="5" width="12.6640625" style="2"/>
  </cols>
  <sheetData>
    <row r="1" spans="1:5" x14ac:dyDescent="0.25">
      <c r="A1" s="2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C2" s="1">
        <v>36</v>
      </c>
    </row>
    <row r="3" spans="1:5" x14ac:dyDescent="0.25">
      <c r="A3" s="2">
        <v>1</v>
      </c>
      <c r="B3" s="1">
        <v>12</v>
      </c>
      <c r="C3" s="1">
        <v>26</v>
      </c>
      <c r="D3" s="1">
        <f>ROUND(AVERAGE(C2:C4), 2)</f>
        <v>32.33</v>
      </c>
      <c r="E3" s="1">
        <f>ROUND(1/B3^2, 4)</f>
        <v>6.8999999999999999E-3</v>
      </c>
    </row>
    <row r="4" spans="1:5" x14ac:dyDescent="0.25">
      <c r="C4" s="1">
        <v>35</v>
      </c>
    </row>
    <row r="6" spans="1:5" x14ac:dyDescent="0.25">
      <c r="C6" s="1">
        <v>28</v>
      </c>
    </row>
    <row r="7" spans="1:5" x14ac:dyDescent="0.25">
      <c r="A7" s="2">
        <v>2</v>
      </c>
      <c r="B7" s="1">
        <v>11.5</v>
      </c>
      <c r="C7" s="1">
        <v>35</v>
      </c>
      <c r="D7" s="1">
        <f>ROUND(AVERAGE(C6:C8), 2)</f>
        <v>32.33</v>
      </c>
      <c r="E7" s="1">
        <f>ROUND(1/B7^2, 4)</f>
        <v>7.6E-3</v>
      </c>
    </row>
    <row r="8" spans="1:5" x14ac:dyDescent="0.25">
      <c r="C8" s="1">
        <v>34</v>
      </c>
    </row>
    <row r="10" spans="1:5" x14ac:dyDescent="0.25">
      <c r="C10" s="1">
        <v>51</v>
      </c>
    </row>
    <row r="11" spans="1:5" x14ac:dyDescent="0.25">
      <c r="A11" s="2">
        <v>3</v>
      </c>
      <c r="B11" s="1">
        <v>11</v>
      </c>
      <c r="C11" s="1">
        <v>31</v>
      </c>
      <c r="D11" s="1">
        <f>ROUND(AVERAGE(C10:C12), 2)</f>
        <v>39.67</v>
      </c>
      <c r="E11" s="1">
        <f>ROUND(1/B11^2, 4)</f>
        <v>8.3000000000000001E-3</v>
      </c>
    </row>
    <row r="12" spans="1:5" x14ac:dyDescent="0.25">
      <c r="C12" s="1">
        <v>37</v>
      </c>
    </row>
    <row r="14" spans="1:5" x14ac:dyDescent="0.25">
      <c r="C14" s="1">
        <v>35</v>
      </c>
    </row>
    <row r="15" spans="1:5" x14ac:dyDescent="0.25">
      <c r="A15" s="2">
        <v>4</v>
      </c>
      <c r="B15" s="1">
        <v>10.5</v>
      </c>
      <c r="C15" s="1">
        <v>38</v>
      </c>
      <c r="D15" s="1">
        <f>ROUND(AVERAGE(C14:C16), 2)</f>
        <v>37.67</v>
      </c>
      <c r="E15" s="1">
        <f>ROUND(1/B15^2, 4)</f>
        <v>9.1000000000000004E-3</v>
      </c>
    </row>
    <row r="16" spans="1:5" x14ac:dyDescent="0.25">
      <c r="C16" s="1">
        <v>40</v>
      </c>
    </row>
    <row r="18" spans="1:5" x14ac:dyDescent="0.25">
      <c r="C18" s="1">
        <v>42</v>
      </c>
    </row>
    <row r="19" spans="1:5" x14ac:dyDescent="0.25">
      <c r="A19" s="2">
        <v>5</v>
      </c>
      <c r="B19" s="1">
        <v>10</v>
      </c>
      <c r="C19" s="1">
        <v>46</v>
      </c>
      <c r="D19" s="1">
        <f>ROUND(AVERAGE(C18:C20), 2)</f>
        <v>45</v>
      </c>
      <c r="E19" s="1">
        <f>ROUND(1/B19^2, 4)</f>
        <v>0.01</v>
      </c>
    </row>
    <row r="20" spans="1:5" x14ac:dyDescent="0.25">
      <c r="C20" s="1">
        <v>47</v>
      </c>
    </row>
    <row r="22" spans="1:5" x14ac:dyDescent="0.25">
      <c r="C22" s="1">
        <v>49</v>
      </c>
    </row>
    <row r="23" spans="1:5" x14ac:dyDescent="0.25">
      <c r="A23" s="2">
        <v>6</v>
      </c>
      <c r="B23" s="1">
        <v>9.5</v>
      </c>
      <c r="C23" s="1">
        <v>36</v>
      </c>
      <c r="D23" s="1">
        <f>ROUND(AVERAGE(C22:C24), 2)</f>
        <v>50</v>
      </c>
      <c r="E23" s="1">
        <f>ROUND(1/B23^2, 4)</f>
        <v>1.11E-2</v>
      </c>
    </row>
    <row r="24" spans="1:5" x14ac:dyDescent="0.25">
      <c r="C24" s="1">
        <v>65</v>
      </c>
    </row>
    <row r="26" spans="1:5" x14ac:dyDescent="0.25">
      <c r="C26" s="1">
        <v>52</v>
      </c>
    </row>
    <row r="27" spans="1:5" x14ac:dyDescent="0.25">
      <c r="A27" s="2">
        <v>7</v>
      </c>
      <c r="B27" s="1">
        <v>9</v>
      </c>
      <c r="C27" s="1">
        <v>49</v>
      </c>
      <c r="D27" s="1">
        <f>ROUND(AVERAGE(C26:C28), 2)</f>
        <v>50.33</v>
      </c>
      <c r="E27" s="1">
        <f>ROUND(1/B27^2, 4)</f>
        <v>1.23E-2</v>
      </c>
    </row>
    <row r="28" spans="1:5" x14ac:dyDescent="0.25">
      <c r="C28" s="1">
        <v>50</v>
      </c>
    </row>
    <row r="30" spans="1:5" x14ac:dyDescent="0.25">
      <c r="C30" s="1">
        <v>61</v>
      </c>
    </row>
    <row r="31" spans="1:5" x14ac:dyDescent="0.25">
      <c r="A31" s="2">
        <v>8</v>
      </c>
      <c r="B31" s="1">
        <v>8.5</v>
      </c>
      <c r="C31" s="1">
        <v>53</v>
      </c>
      <c r="D31" s="1">
        <f>ROUND(AVERAGE(C30:C32), 2)</f>
        <v>58.33</v>
      </c>
      <c r="E31" s="1">
        <f>ROUND(1/B31^2, 4)</f>
        <v>1.38E-2</v>
      </c>
    </row>
    <row r="32" spans="1:5" x14ac:dyDescent="0.25">
      <c r="C32" s="1">
        <v>61</v>
      </c>
    </row>
    <row r="34" spans="1:5" x14ac:dyDescent="0.25">
      <c r="C34" s="1">
        <v>64</v>
      </c>
    </row>
    <row r="35" spans="1:5" x14ac:dyDescent="0.25">
      <c r="A35" s="2">
        <v>9</v>
      </c>
      <c r="B35" s="1">
        <v>8</v>
      </c>
      <c r="C35" s="1">
        <v>70</v>
      </c>
      <c r="D35" s="1">
        <f>ROUND(AVERAGE(C34:C36), 2)</f>
        <v>71.67</v>
      </c>
      <c r="E35" s="1">
        <f>ROUND(1/B35^2, 4)</f>
        <v>1.5599999999999999E-2</v>
      </c>
    </row>
    <row r="36" spans="1:5" x14ac:dyDescent="0.25">
      <c r="C36" s="1">
        <v>81</v>
      </c>
    </row>
    <row r="38" spans="1:5" x14ac:dyDescent="0.25">
      <c r="C38" s="1">
        <v>77</v>
      </c>
    </row>
    <row r="39" spans="1:5" x14ac:dyDescent="0.25">
      <c r="A39" s="2">
        <v>10</v>
      </c>
      <c r="B39" s="1">
        <v>7.5</v>
      </c>
      <c r="C39" s="1">
        <v>64</v>
      </c>
      <c r="D39" s="1">
        <f>ROUND(AVERAGE(C38:C40), 2)</f>
        <v>67</v>
      </c>
      <c r="E39" s="1">
        <f>ROUND(1/B39^2, 4)</f>
        <v>1.78E-2</v>
      </c>
    </row>
    <row r="40" spans="1:5" x14ac:dyDescent="0.25">
      <c r="C40" s="1">
        <v>60</v>
      </c>
    </row>
    <row r="42" spans="1:5" x14ac:dyDescent="0.25">
      <c r="C42" s="1">
        <v>76</v>
      </c>
    </row>
    <row r="43" spans="1:5" x14ac:dyDescent="0.25">
      <c r="A43" s="2">
        <v>11</v>
      </c>
      <c r="B43" s="1">
        <v>7</v>
      </c>
      <c r="C43" s="1">
        <v>78</v>
      </c>
      <c r="D43" s="1">
        <f>ROUND(AVERAGE(C42:C44), 2)</f>
        <v>84</v>
      </c>
      <c r="E43" s="1">
        <f>ROUND(1/B43^2, 4)</f>
        <v>2.0400000000000001E-2</v>
      </c>
    </row>
    <row r="44" spans="1:5" x14ac:dyDescent="0.25">
      <c r="C44" s="1">
        <v>98</v>
      </c>
    </row>
    <row r="46" spans="1:5" x14ac:dyDescent="0.25">
      <c r="C46" s="1">
        <v>101</v>
      </c>
    </row>
    <row r="47" spans="1:5" x14ac:dyDescent="0.25">
      <c r="A47" s="2">
        <v>12</v>
      </c>
      <c r="B47" s="1">
        <v>6.5</v>
      </c>
      <c r="C47" s="1">
        <v>104</v>
      </c>
      <c r="D47" s="1">
        <f>ROUND(AVERAGE(C46:C48), 2)</f>
        <v>102.33</v>
      </c>
      <c r="E47" s="1">
        <f>ROUND(1/B47^2, 4)</f>
        <v>2.3699999999999999E-2</v>
      </c>
    </row>
    <row r="48" spans="1:5" x14ac:dyDescent="0.25">
      <c r="C48" s="1">
        <v>102</v>
      </c>
    </row>
    <row r="50" spans="1:5" x14ac:dyDescent="0.25">
      <c r="C50" s="1">
        <v>127</v>
      </c>
    </row>
    <row r="51" spans="1:5" x14ac:dyDescent="0.25">
      <c r="A51" s="2">
        <v>13</v>
      </c>
      <c r="B51" s="1">
        <v>6</v>
      </c>
      <c r="C51" s="1">
        <v>133</v>
      </c>
      <c r="D51" s="1">
        <f>ROUND(AVERAGE(C50:C52), 2)</f>
        <v>119.67</v>
      </c>
      <c r="E51" s="1">
        <f>ROUND(1/B51^2, 4)</f>
        <v>2.7799999999999998E-2</v>
      </c>
    </row>
    <row r="52" spans="1:5" x14ac:dyDescent="0.25">
      <c r="C52" s="1">
        <v>99</v>
      </c>
    </row>
    <row r="54" spans="1:5" x14ac:dyDescent="0.25">
      <c r="C54" s="1">
        <v>136</v>
      </c>
    </row>
    <row r="55" spans="1:5" x14ac:dyDescent="0.25">
      <c r="A55" s="2">
        <v>14</v>
      </c>
      <c r="B55" s="1">
        <v>5.5</v>
      </c>
      <c r="C55" s="1">
        <v>130</v>
      </c>
      <c r="D55" s="1">
        <f>ROUND(AVERAGE(C54:C56), 2)</f>
        <v>126.67</v>
      </c>
      <c r="E55" s="1">
        <f>ROUND(1/B55^2, 4)</f>
        <v>3.3099999999999997E-2</v>
      </c>
    </row>
    <row r="56" spans="1:5" x14ac:dyDescent="0.25">
      <c r="C56" s="1">
        <v>114</v>
      </c>
    </row>
    <row r="58" spans="1:5" x14ac:dyDescent="0.25">
      <c r="C58" s="1">
        <v>136</v>
      </c>
    </row>
    <row r="59" spans="1:5" x14ac:dyDescent="0.25">
      <c r="A59" s="2">
        <v>15</v>
      </c>
      <c r="B59" s="1">
        <v>5</v>
      </c>
      <c r="C59" s="1">
        <v>166</v>
      </c>
      <c r="D59" s="1">
        <f>ROUND(AVERAGE(C58:C60), 2)</f>
        <v>150.33000000000001</v>
      </c>
      <c r="E59" s="1">
        <f>ROUND(1/B59^2, 4)</f>
        <v>0.04</v>
      </c>
    </row>
    <row r="60" spans="1:5" x14ac:dyDescent="0.25">
      <c r="C60" s="1">
        <v>149</v>
      </c>
    </row>
    <row r="62" spans="1:5" x14ac:dyDescent="0.25">
      <c r="C62" s="1">
        <v>199</v>
      </c>
    </row>
    <row r="63" spans="1:5" x14ac:dyDescent="0.25">
      <c r="A63" s="2">
        <v>16</v>
      </c>
      <c r="B63" s="1">
        <v>4.5</v>
      </c>
      <c r="C63" s="1">
        <v>189</v>
      </c>
      <c r="D63" s="1">
        <f>ROUND(AVERAGE(C62:C64), 2)</f>
        <v>186.33</v>
      </c>
      <c r="E63" s="1">
        <f>ROUND(1/B63^2, 4)</f>
        <v>4.9399999999999999E-2</v>
      </c>
    </row>
    <row r="64" spans="1:5" x14ac:dyDescent="0.25">
      <c r="C64" s="1">
        <v>171</v>
      </c>
    </row>
    <row r="66" spans="1:5" x14ac:dyDescent="0.25">
      <c r="C66" s="1">
        <v>240</v>
      </c>
    </row>
    <row r="67" spans="1:5" x14ac:dyDescent="0.25">
      <c r="A67" s="2">
        <v>17</v>
      </c>
      <c r="B67" s="1">
        <v>4</v>
      </c>
      <c r="C67" s="1">
        <v>258</v>
      </c>
      <c r="D67" s="1">
        <f>ROUND(AVERAGE(C66:C68), 2)</f>
        <v>253.33</v>
      </c>
      <c r="E67" s="1">
        <f>ROUND(1/B67^2, 4)</f>
        <v>6.25E-2</v>
      </c>
    </row>
    <row r="68" spans="1:5" x14ac:dyDescent="0.25">
      <c r="C68" s="1">
        <v>262</v>
      </c>
    </row>
    <row r="70" spans="1:5" x14ac:dyDescent="0.25">
      <c r="C70" s="1">
        <v>267</v>
      </c>
    </row>
    <row r="71" spans="1:5" x14ac:dyDescent="0.25">
      <c r="A71" s="2">
        <v>18</v>
      </c>
      <c r="B71" s="1">
        <v>3.5</v>
      </c>
      <c r="C71" s="1">
        <v>303</v>
      </c>
      <c r="D71" s="1">
        <f>ROUND(AVERAGE(C70:C72), 2)</f>
        <v>286.67</v>
      </c>
      <c r="E71" s="1">
        <f>ROUND(1/B71^2, 4)</f>
        <v>8.1600000000000006E-2</v>
      </c>
    </row>
    <row r="72" spans="1:5" x14ac:dyDescent="0.25">
      <c r="C72" s="1">
        <v>290</v>
      </c>
    </row>
    <row r="74" spans="1:5" x14ac:dyDescent="0.25">
      <c r="C74" s="1">
        <v>335</v>
      </c>
    </row>
    <row r="75" spans="1:5" x14ac:dyDescent="0.25">
      <c r="A75" s="2">
        <v>19</v>
      </c>
      <c r="B75" s="1">
        <v>3</v>
      </c>
      <c r="C75" s="1">
        <v>375</v>
      </c>
      <c r="D75" s="1">
        <f>ROUND(AVERAGE(C74:C76), 2)</f>
        <v>364.67</v>
      </c>
      <c r="E75" s="1">
        <f>ROUND(1/B75^2, 4)</f>
        <v>0.1111</v>
      </c>
    </row>
    <row r="76" spans="1:5" x14ac:dyDescent="0.25">
      <c r="C76" s="1">
        <v>384</v>
      </c>
    </row>
    <row r="78" spans="1:5" x14ac:dyDescent="0.25">
      <c r="C78" s="1">
        <v>514</v>
      </c>
    </row>
    <row r="79" spans="1:5" x14ac:dyDescent="0.25">
      <c r="A79" s="2">
        <v>20</v>
      </c>
      <c r="B79" s="1">
        <v>2.5</v>
      </c>
      <c r="C79" s="1">
        <v>489</v>
      </c>
      <c r="D79" s="1">
        <f>ROUND(AVERAGE(C78:C80), 2)</f>
        <v>500.67</v>
      </c>
      <c r="E79" s="1">
        <f>ROUND(1/B79^2, 4)</f>
        <v>0.16</v>
      </c>
    </row>
    <row r="80" spans="1:5" x14ac:dyDescent="0.25">
      <c r="C80" s="1">
        <v>499</v>
      </c>
    </row>
    <row r="82" spans="1:5" x14ac:dyDescent="0.25">
      <c r="C82" s="1">
        <v>659</v>
      </c>
    </row>
    <row r="83" spans="1:5" x14ac:dyDescent="0.25">
      <c r="A83" s="2">
        <v>21</v>
      </c>
      <c r="B83" s="1">
        <v>2</v>
      </c>
      <c r="C83" s="1">
        <v>683</v>
      </c>
      <c r="D83" s="1">
        <f>ROUND(AVERAGE(C82:C84), 2)</f>
        <v>682</v>
      </c>
      <c r="E83" s="1">
        <f>ROUND(1/B83^2, 4)</f>
        <v>0.25</v>
      </c>
    </row>
    <row r="84" spans="1:5" x14ac:dyDescent="0.25">
      <c r="C84" s="1">
        <v>704</v>
      </c>
    </row>
    <row r="86" spans="1:5" x14ac:dyDescent="0.25">
      <c r="C86" s="1">
        <v>930</v>
      </c>
    </row>
    <row r="87" spans="1:5" x14ac:dyDescent="0.25">
      <c r="A87" s="2">
        <v>22</v>
      </c>
      <c r="B87" s="1">
        <v>1.5</v>
      </c>
      <c r="C87" s="1">
        <v>1026</v>
      </c>
      <c r="D87" s="1">
        <f>ROUND(AVERAGE(C86:C88), 2)</f>
        <v>967.33</v>
      </c>
      <c r="E87" s="1">
        <f>ROUND(1/B87^2, 4)</f>
        <v>0.44440000000000002</v>
      </c>
    </row>
    <row r="88" spans="1:5" x14ac:dyDescent="0.25">
      <c r="C88" s="1">
        <v>946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B8913-8840-49CD-BA61-66EFB9CF2AC2}">
  <dimension ref="A1:I31"/>
  <sheetViews>
    <sheetView tabSelected="1" workbookViewId="0">
      <selection activeCell="D3" sqref="D3"/>
    </sheetView>
  </sheetViews>
  <sheetFormatPr defaultRowHeight="13.2" x14ac:dyDescent="0.25"/>
  <cols>
    <col min="2" max="2" width="14.21875" customWidth="1"/>
    <col min="3" max="3" width="12.44140625" customWidth="1"/>
    <col min="4" max="4" width="10.44140625" customWidth="1"/>
    <col min="5" max="5" width="14.77734375" customWidth="1"/>
    <col min="6" max="6" width="17.6640625" customWidth="1"/>
  </cols>
  <sheetData>
    <row r="1" spans="1:9" x14ac:dyDescent="0.25">
      <c r="A1" t="s">
        <v>4</v>
      </c>
      <c r="B1" t="s">
        <v>9</v>
      </c>
      <c r="C1" t="s">
        <v>5</v>
      </c>
      <c r="D1" t="s">
        <v>6</v>
      </c>
      <c r="E1" t="s">
        <v>2</v>
      </c>
      <c r="F1" t="s">
        <v>7</v>
      </c>
    </row>
    <row r="3" spans="1:9" x14ac:dyDescent="0.25">
      <c r="A3">
        <v>1</v>
      </c>
      <c r="B3">
        <v>1.04</v>
      </c>
      <c r="C3">
        <v>10</v>
      </c>
      <c r="D3">
        <f>C3/30</f>
        <v>0.33333333333333331</v>
      </c>
    </row>
    <row r="4" spans="1:9" x14ac:dyDescent="0.25">
      <c r="C4">
        <v>13</v>
      </c>
      <c r="D4">
        <f t="shared" ref="D4:D31" si="0">C4/30</f>
        <v>0.43333333333333335</v>
      </c>
    </row>
    <row r="5" spans="1:9" x14ac:dyDescent="0.25">
      <c r="C5">
        <v>14</v>
      </c>
      <c r="D5">
        <f t="shared" si="0"/>
        <v>0.46666666666666667</v>
      </c>
    </row>
    <row r="6" spans="1:9" x14ac:dyDescent="0.25">
      <c r="C6">
        <v>16</v>
      </c>
      <c r="D6">
        <f t="shared" si="0"/>
        <v>0.53333333333333333</v>
      </c>
    </row>
    <row r="7" spans="1:9" x14ac:dyDescent="0.25">
      <c r="C7">
        <v>17</v>
      </c>
      <c r="D7">
        <f t="shared" si="0"/>
        <v>0.56666666666666665</v>
      </c>
    </row>
    <row r="9" spans="1:9" x14ac:dyDescent="0.25">
      <c r="A9">
        <v>2</v>
      </c>
      <c r="B9">
        <v>2.04</v>
      </c>
      <c r="C9">
        <v>17</v>
      </c>
      <c r="D9">
        <f t="shared" si="0"/>
        <v>0.56666666666666665</v>
      </c>
      <c r="H9" t="s">
        <v>8</v>
      </c>
      <c r="I9">
        <v>0.32100000000000001</v>
      </c>
    </row>
    <row r="10" spans="1:9" x14ac:dyDescent="0.25">
      <c r="C10">
        <v>18</v>
      </c>
      <c r="D10">
        <f t="shared" si="0"/>
        <v>0.6</v>
      </c>
    </row>
    <row r="11" spans="1:9" x14ac:dyDescent="0.25">
      <c r="C11">
        <v>11</v>
      </c>
      <c r="D11">
        <f t="shared" si="0"/>
        <v>0.36666666666666664</v>
      </c>
    </row>
    <row r="12" spans="1:9" x14ac:dyDescent="0.25">
      <c r="C12">
        <v>13</v>
      </c>
      <c r="D12">
        <f t="shared" si="0"/>
        <v>0.43333333333333335</v>
      </c>
    </row>
    <row r="13" spans="1:9" x14ac:dyDescent="0.25">
      <c r="C13">
        <v>15</v>
      </c>
      <c r="D13">
        <f t="shared" si="0"/>
        <v>0.5</v>
      </c>
    </row>
    <row r="15" spans="1:9" x14ac:dyDescent="0.25">
      <c r="A15">
        <v>3</v>
      </c>
      <c r="B15">
        <v>3.05</v>
      </c>
      <c r="C15">
        <v>15</v>
      </c>
      <c r="D15">
        <f t="shared" si="0"/>
        <v>0.5</v>
      </c>
    </row>
    <row r="16" spans="1:9" x14ac:dyDescent="0.25">
      <c r="C16">
        <v>25</v>
      </c>
      <c r="D16">
        <f t="shared" si="0"/>
        <v>0.83333333333333337</v>
      </c>
    </row>
    <row r="17" spans="1:4" x14ac:dyDescent="0.25">
      <c r="C17">
        <v>9</v>
      </c>
      <c r="D17">
        <f t="shared" si="0"/>
        <v>0.3</v>
      </c>
    </row>
    <row r="18" spans="1:4" x14ac:dyDescent="0.25">
      <c r="C18">
        <v>13</v>
      </c>
      <c r="D18">
        <f t="shared" si="0"/>
        <v>0.43333333333333335</v>
      </c>
    </row>
    <row r="19" spans="1:4" x14ac:dyDescent="0.25">
      <c r="C19">
        <v>12</v>
      </c>
      <c r="D19">
        <f t="shared" si="0"/>
        <v>0.4</v>
      </c>
    </row>
    <row r="21" spans="1:4" x14ac:dyDescent="0.25">
      <c r="A21">
        <v>4</v>
      </c>
      <c r="B21">
        <v>4.2</v>
      </c>
      <c r="C21">
        <v>8</v>
      </c>
      <c r="D21">
        <f t="shared" si="0"/>
        <v>0.26666666666666666</v>
      </c>
    </row>
    <row r="22" spans="1:4" x14ac:dyDescent="0.25">
      <c r="C22">
        <v>15</v>
      </c>
      <c r="D22">
        <f t="shared" si="0"/>
        <v>0.5</v>
      </c>
    </row>
    <row r="23" spans="1:4" x14ac:dyDescent="0.25">
      <c r="C23">
        <v>12</v>
      </c>
      <c r="D23">
        <f t="shared" si="0"/>
        <v>0.4</v>
      </c>
    </row>
    <row r="24" spans="1:4" x14ac:dyDescent="0.25">
      <c r="C24">
        <v>13</v>
      </c>
      <c r="D24">
        <f t="shared" si="0"/>
        <v>0.43333333333333335</v>
      </c>
    </row>
    <row r="25" spans="1:4" x14ac:dyDescent="0.25">
      <c r="C25">
        <v>12</v>
      </c>
      <c r="D25">
        <f t="shared" si="0"/>
        <v>0.4</v>
      </c>
    </row>
    <row r="27" spans="1:4" x14ac:dyDescent="0.25">
      <c r="A27">
        <v>5</v>
      </c>
      <c r="B27">
        <v>5.21</v>
      </c>
      <c r="C27">
        <v>9</v>
      </c>
      <c r="D27">
        <f t="shared" si="0"/>
        <v>0.3</v>
      </c>
    </row>
    <row r="28" spans="1:4" x14ac:dyDescent="0.25">
      <c r="C28">
        <v>10</v>
      </c>
      <c r="D28">
        <f t="shared" si="0"/>
        <v>0.33333333333333331</v>
      </c>
    </row>
    <row r="29" spans="1:4" x14ac:dyDescent="0.25">
      <c r="C29">
        <v>14</v>
      </c>
      <c r="D29">
        <f t="shared" si="0"/>
        <v>0.46666666666666667</v>
      </c>
    </row>
    <row r="30" spans="1:4" x14ac:dyDescent="0.25">
      <c r="C30">
        <v>12</v>
      </c>
      <c r="D30">
        <f t="shared" si="0"/>
        <v>0.4</v>
      </c>
    </row>
    <row r="31" spans="1:4" x14ac:dyDescent="0.25">
      <c r="C31">
        <v>13</v>
      </c>
      <c r="D31">
        <f t="shared" si="0"/>
        <v>0.43333333333333335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Inverse Square Law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Arya Basak</cp:lastModifiedBy>
  <dcterms:modified xsi:type="dcterms:W3CDTF">2025-09-05T10:13:57Z</dcterms:modified>
</cp:coreProperties>
</file>